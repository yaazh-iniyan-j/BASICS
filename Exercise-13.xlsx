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Yaazh Iniyan J\EXCEL\"/>
    </mc:Choice>
  </mc:AlternateContent>
  <bookViews>
    <workbookView xWindow="0" yWindow="0" windowWidth="15360" windowHeight="766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19" i="1" l="1"/>
  <c r="F18" i="1"/>
  <c r="F17" i="1"/>
  <c r="E18" i="1" l="1"/>
  <c r="E19" i="1"/>
  <c r="E17" i="1"/>
  <c r="B27" i="1"/>
  <c r="B26" i="1"/>
  <c r="B22" i="1"/>
  <c r="B23" i="1"/>
  <c r="B21" i="1"/>
  <c r="B18" i="1"/>
  <c r="B17" i="1"/>
  <c r="B16" i="1"/>
</calcChain>
</file>

<file path=xl/sharedStrings.xml><?xml version="1.0" encoding="utf-8"?>
<sst xmlns="http://schemas.openxmlformats.org/spreadsheetml/2006/main" count="69" uniqueCount="30">
  <si>
    <t>Tamilnadu Annual Purchase Report 2022</t>
  </si>
  <si>
    <t>Customer ID</t>
  </si>
  <si>
    <t>Gender</t>
  </si>
  <si>
    <t>City</t>
  </si>
  <si>
    <t>Education</t>
  </si>
  <si>
    <t>Annual Purchase</t>
  </si>
  <si>
    <t>Annual Salary</t>
  </si>
  <si>
    <t>C10</t>
  </si>
  <si>
    <t>C11</t>
  </si>
  <si>
    <t>C12</t>
  </si>
  <si>
    <t>C13</t>
  </si>
  <si>
    <t>C14</t>
  </si>
  <si>
    <t>C15</t>
  </si>
  <si>
    <t>C16</t>
  </si>
  <si>
    <t>C17</t>
  </si>
  <si>
    <t>C18</t>
  </si>
  <si>
    <t>C19</t>
  </si>
  <si>
    <t>M</t>
  </si>
  <si>
    <t>F</t>
  </si>
  <si>
    <t>Madurai</t>
  </si>
  <si>
    <t>Vellore</t>
  </si>
  <si>
    <t>Chidambaram</t>
  </si>
  <si>
    <t>University</t>
  </si>
  <si>
    <t>High School</t>
  </si>
  <si>
    <t>None</t>
  </si>
  <si>
    <t>Total Annual Purchase</t>
  </si>
  <si>
    <t>Male</t>
  </si>
  <si>
    <t>Female</t>
  </si>
  <si>
    <t>Annual Average Purchase</t>
  </si>
  <si>
    <t>Population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</si>
</sst>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>
    <font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color theme="5" tint="-0.499984740745262"/>
      <name val="Calibri"/>
      <family val="2"/>
      <scheme val="minor"/>
    </font>
    <font>
      <sz val="10"/>
      <color theme="1"/>
      <name val="Arial Unicode MS"/>
    </font>
  </fonts>
  <fills count="7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 textRotation="90"/>
    </xf>
    <xf numFmtId="0" fontId="1" fillId="4" borderId="1" xfId="0" applyFont="1" applyFill="1" applyBorder="1" applyAlignment="1">
      <alignment horizontal="center" vertical="center" wrapText="1"/>
    </xf>
    <xf numFmtId="0" fontId="0" fillId="5" borderId="1" xfId="0" applyFill="1" applyBorder="1"/>
    <xf numFmtId="0" fontId="2" fillId="0" borderId="0" xfId="0" applyFont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/>
    </xf>
    <xf numFmtId="0" fontId="0" fillId="3" borderId="1" xfId="0" applyFill="1" applyBorder="1"/>
    <xf numFmtId="0" fontId="2" fillId="6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 wrapText="1"/>
    </xf>
    <xf numFmtId="0" fontId="0" fillId="2" borderId="1" xfId="0" applyFill="1" applyBorder="1"/>
    <xf numFmtId="0" fontId="3" fillId="5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0101"/>
      <color rgb="FF800000"/>
      <color rgb="FFFA7D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7"/>
  <sheetViews>
    <sheetView tabSelected="1" topLeftCell="A7" zoomScaleNormal="100" workbookViewId="0">
      <selection activeCell="G17" sqref="G17"/>
    </sheetView>
  </sheetViews>
  <sheetFormatPr defaultRowHeight="12.75"/>
  <cols>
    <col min="1" max="1" width="12" customWidth="1"/>
    <col min="2" max="2" width="8.5703125" customWidth="1"/>
    <col min="3" max="3" width="11.42578125" customWidth="1"/>
    <col min="4" max="5" width="11.85546875" customWidth="1"/>
    <col min="6" max="6" width="12.7109375" customWidth="1"/>
  </cols>
  <sheetData>
    <row r="1" spans="1:6" ht="22.5" customHeight="1">
      <c r="A1" s="13" t="s">
        <v>0</v>
      </c>
      <c r="B1" s="13"/>
      <c r="C1" s="13"/>
      <c r="D1" s="13"/>
      <c r="E1" s="13"/>
      <c r="F1" s="13"/>
    </row>
    <row r="2" spans="1:6" s="1" customFormat="1" ht="40.5" customHeight="1">
      <c r="A2" s="2" t="s">
        <v>1</v>
      </c>
      <c r="B2" s="3" t="s">
        <v>2</v>
      </c>
      <c r="C2" s="2" t="s">
        <v>3</v>
      </c>
      <c r="D2" s="2" t="s">
        <v>4</v>
      </c>
      <c r="E2" s="4" t="s">
        <v>5</v>
      </c>
      <c r="F2" s="2" t="s">
        <v>6</v>
      </c>
    </row>
    <row r="3" spans="1:6">
      <c r="A3" s="5" t="s">
        <v>7</v>
      </c>
      <c r="B3" s="5" t="s">
        <v>17</v>
      </c>
      <c r="C3" s="5" t="s">
        <v>19</v>
      </c>
      <c r="D3" s="5" t="s">
        <v>22</v>
      </c>
      <c r="E3" s="5">
        <v>436310</v>
      </c>
      <c r="F3" s="5">
        <v>525000</v>
      </c>
    </row>
    <row r="4" spans="1:6">
      <c r="A4" s="5" t="s">
        <v>8</v>
      </c>
      <c r="B4" s="5" t="s">
        <v>17</v>
      </c>
      <c r="C4" s="5" t="s">
        <v>19</v>
      </c>
      <c r="D4" s="5" t="s">
        <v>23</v>
      </c>
      <c r="E4" s="5">
        <v>296310</v>
      </c>
      <c r="F4" s="5">
        <v>349930</v>
      </c>
    </row>
    <row r="5" spans="1:6">
      <c r="A5" s="5" t="s">
        <v>9</v>
      </c>
      <c r="B5" s="5" t="s">
        <v>18</v>
      </c>
      <c r="C5" s="5" t="s">
        <v>20</v>
      </c>
      <c r="D5" s="5" t="s">
        <v>22</v>
      </c>
      <c r="E5" s="5">
        <v>459200</v>
      </c>
      <c r="F5" s="5">
        <v>472500</v>
      </c>
    </row>
    <row r="6" spans="1:6">
      <c r="A6" s="5" t="s">
        <v>10</v>
      </c>
      <c r="B6" s="5" t="s">
        <v>17</v>
      </c>
      <c r="C6" s="5" t="s">
        <v>21</v>
      </c>
      <c r="D6" s="5" t="s">
        <v>22</v>
      </c>
      <c r="E6" s="5">
        <v>350070</v>
      </c>
      <c r="F6" s="5">
        <v>840000</v>
      </c>
    </row>
    <row r="7" spans="1:6">
      <c r="A7" s="5" t="s">
        <v>11</v>
      </c>
      <c r="B7" s="5" t="s">
        <v>18</v>
      </c>
      <c r="C7" s="5" t="s">
        <v>19</v>
      </c>
      <c r="D7" s="5" t="s">
        <v>22</v>
      </c>
      <c r="E7" s="5">
        <v>492380</v>
      </c>
      <c r="F7" s="5">
        <v>1225000</v>
      </c>
    </row>
    <row r="8" spans="1:6">
      <c r="A8" s="5" t="s">
        <v>12</v>
      </c>
      <c r="B8" s="5" t="s">
        <v>18</v>
      </c>
      <c r="C8" s="5" t="s">
        <v>21</v>
      </c>
      <c r="D8" s="5" t="s">
        <v>22</v>
      </c>
      <c r="E8" s="5">
        <v>374150</v>
      </c>
      <c r="F8" s="5">
        <v>920500</v>
      </c>
    </row>
    <row r="9" spans="1:6">
      <c r="A9" s="5" t="s">
        <v>13</v>
      </c>
      <c r="B9" s="5" t="s">
        <v>18</v>
      </c>
      <c r="C9" s="5" t="s">
        <v>20</v>
      </c>
      <c r="D9" s="5" t="s">
        <v>23</v>
      </c>
      <c r="E9" s="5">
        <v>55300</v>
      </c>
      <c r="F9" s="5">
        <v>265930</v>
      </c>
    </row>
    <row r="10" spans="1:6">
      <c r="A10" s="5" t="s">
        <v>14</v>
      </c>
      <c r="B10" s="5" t="s">
        <v>18</v>
      </c>
      <c r="C10" s="5" t="s">
        <v>20</v>
      </c>
      <c r="D10" s="5" t="s">
        <v>24</v>
      </c>
      <c r="E10" s="5">
        <v>16800</v>
      </c>
      <c r="F10" s="5">
        <v>150500</v>
      </c>
    </row>
    <row r="11" spans="1:6">
      <c r="A11" s="5" t="s">
        <v>15</v>
      </c>
      <c r="B11" s="5" t="s">
        <v>17</v>
      </c>
      <c r="C11" s="5" t="s">
        <v>20</v>
      </c>
      <c r="D11" s="5" t="s">
        <v>22</v>
      </c>
      <c r="E11" s="5">
        <v>301000</v>
      </c>
      <c r="F11" s="5">
        <v>1571500</v>
      </c>
    </row>
    <row r="12" spans="1:6">
      <c r="A12" s="5" t="s">
        <v>16</v>
      </c>
      <c r="B12" s="5" t="s">
        <v>18</v>
      </c>
      <c r="C12" s="5" t="s">
        <v>19</v>
      </c>
      <c r="D12" s="5" t="s">
        <v>24</v>
      </c>
      <c r="E12" s="5">
        <v>16240</v>
      </c>
      <c r="F12" s="5">
        <v>175000</v>
      </c>
    </row>
    <row r="15" spans="1:6" ht="36.75" customHeight="1">
      <c r="A15" s="10" t="s">
        <v>3</v>
      </c>
      <c r="B15" s="11" t="s">
        <v>25</v>
      </c>
      <c r="D15" s="7" t="s">
        <v>6</v>
      </c>
      <c r="E15" s="14" t="s">
        <v>2</v>
      </c>
      <c r="F15" s="14"/>
    </row>
    <row r="16" spans="1:6">
      <c r="A16" s="12" t="s">
        <v>19</v>
      </c>
      <c r="B16" s="12">
        <f>SUMIF(C3:C12, A16, E3:E12)</f>
        <v>1241240</v>
      </c>
      <c r="D16" s="8" t="s">
        <v>3</v>
      </c>
      <c r="E16" s="8" t="s">
        <v>26</v>
      </c>
      <c r="F16" s="8" t="s">
        <v>27</v>
      </c>
    </row>
    <row r="17" spans="1:6">
      <c r="A17" s="12" t="s">
        <v>21</v>
      </c>
      <c r="B17" s="12">
        <f>SUMIF(C3:C12, A17, E3:E12)</f>
        <v>724220</v>
      </c>
      <c r="D17" s="9" t="s">
        <v>19</v>
      </c>
      <c r="E17" s="5">
        <f>AVERAGEIFS(F3:F12, C3:C12, D17, B3:B12, LEFT(E16, 1))</f>
        <v>437465</v>
      </c>
      <c r="F17" s="5">
        <f>AVERAGEIFS(F3:F12, C3:C12, D17, B3:B12, LEFT(F16, 1))</f>
        <v>700000</v>
      </c>
    </row>
    <row r="18" spans="1:6">
      <c r="A18" s="12" t="s">
        <v>20</v>
      </c>
      <c r="B18" s="12">
        <f>SUMIF(C3:C12, A18, E3:E12)</f>
        <v>832300</v>
      </c>
      <c r="D18" s="9" t="s">
        <v>21</v>
      </c>
      <c r="E18" s="5">
        <f>AVERAGEIFS(F3:F12, C3:C12, D18, B3:B12, LEFT(E16, 1))</f>
        <v>840000</v>
      </c>
      <c r="F18" s="5">
        <f>AVERAGEIFS(F3:F12, C3:C12, D18, B3:B12, LEFT(F16, 1))</f>
        <v>920500</v>
      </c>
    </row>
    <row r="19" spans="1:6">
      <c r="D19" s="9" t="s">
        <v>20</v>
      </c>
      <c r="E19" s="5">
        <f>AVERAGEIFS(F3:F12, C3:C12, D19, B3:B12, LEFT(E16, 1))</f>
        <v>1571500</v>
      </c>
      <c r="F19" s="15">
        <f>AVERAGEIFS(F3:F12, C3:C12, D19, B3:B12, LEFT(F16, 1))</f>
        <v>296310</v>
      </c>
    </row>
    <row r="20" spans="1:6" ht="38.25">
      <c r="A20" s="10" t="s">
        <v>4</v>
      </c>
      <c r="B20" s="11" t="s">
        <v>28</v>
      </c>
      <c r="C20" s="6"/>
    </row>
    <row r="21" spans="1:6">
      <c r="A21" s="12" t="s">
        <v>22</v>
      </c>
      <c r="B21" s="12">
        <f>AVERAGEIF(D3:D12, A21, E3:E12)</f>
        <v>402185</v>
      </c>
    </row>
    <row r="22" spans="1:6">
      <c r="A22" s="12" t="s">
        <v>23</v>
      </c>
      <c r="B22" s="12">
        <f t="shared" ref="B22:B23" si="0">AVERAGEIF(D4:D13, A22, E4:E13)</f>
        <v>175805</v>
      </c>
    </row>
    <row r="23" spans="1:6">
      <c r="A23" s="12" t="s">
        <v>24</v>
      </c>
      <c r="B23" s="12">
        <f t="shared" si="0"/>
        <v>16520</v>
      </c>
    </row>
    <row r="25" spans="1:6">
      <c r="A25" s="10" t="s">
        <v>2</v>
      </c>
      <c r="B25" s="10" t="s">
        <v>29</v>
      </c>
    </row>
    <row r="26" spans="1:6">
      <c r="A26" s="12" t="s">
        <v>26</v>
      </c>
      <c r="B26" s="12">
        <f>COUNTIF(B3:B12,LEFT( A26,1))</f>
        <v>4</v>
      </c>
    </row>
    <row r="27" spans="1:6">
      <c r="A27" s="12" t="s">
        <v>27</v>
      </c>
      <c r="B27" s="12">
        <f>COUNTIF(B4:B13,LEFT( A27,1))</f>
        <v>6</v>
      </c>
    </row>
  </sheetData>
  <mergeCells count="2">
    <mergeCell ref="A1:F1"/>
    <mergeCell ref="E15:F15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PLANET ERODE</dc:creator>
  <cp:lastModifiedBy>PLANET ERODE</cp:lastModifiedBy>
  <dcterms:created xsi:type="dcterms:W3CDTF">2026-06-18T06:38:32Z</dcterms:created>
  <dcterms:modified xsi:type="dcterms:W3CDTF">2026-06-18T07:59:57Z</dcterms:modified>
</cp:coreProperties>
</file>