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Yaazh Iniyan J\EXCEL\"/>
    </mc:Choice>
  </mc:AlternateContent>
  <bookViews>
    <workbookView xWindow="0" yWindow="0" windowWidth="15360" windowHeight="76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1" l="1"/>
  <c r="I8" i="1"/>
  <c r="J8" i="1"/>
  <c r="K8" i="1"/>
  <c r="H2" i="1"/>
  <c r="K2" i="1"/>
  <c r="K3" i="1"/>
  <c r="K4" i="1"/>
  <c r="K5" i="1"/>
  <c r="K6" i="1"/>
  <c r="K7" i="1"/>
  <c r="J7" i="1"/>
  <c r="J6" i="1"/>
  <c r="J5" i="1"/>
  <c r="J4" i="1"/>
  <c r="J3" i="1"/>
  <c r="J2" i="1"/>
  <c r="H7" i="1" l="1"/>
  <c r="I7" i="1" s="1"/>
  <c r="H6" i="1"/>
  <c r="I6" i="1" s="1"/>
  <c r="H5" i="1"/>
  <c r="I5" i="1" s="1"/>
  <c r="H4" i="1"/>
  <c r="I4" i="1" s="1"/>
  <c r="H3" i="1"/>
  <c r="I3" i="1" s="1"/>
  <c r="I2" i="1"/>
</calcChain>
</file>

<file path=xl/sharedStrings.xml><?xml version="1.0" encoding="utf-8"?>
<sst xmlns="http://schemas.openxmlformats.org/spreadsheetml/2006/main" count="95" uniqueCount="36">
  <si>
    <t>S.No</t>
  </si>
  <si>
    <t>Student Name</t>
  </si>
  <si>
    <t>Tamil</t>
  </si>
  <si>
    <t>English</t>
  </si>
  <si>
    <t>Maths</t>
  </si>
  <si>
    <t>Science</t>
  </si>
  <si>
    <t>Social</t>
  </si>
  <si>
    <t>Total</t>
  </si>
  <si>
    <t>Average</t>
  </si>
  <si>
    <t>RESULT</t>
  </si>
  <si>
    <t>Selvi</t>
  </si>
  <si>
    <t>Rani</t>
  </si>
  <si>
    <t>Durga</t>
  </si>
  <si>
    <t>Deepa</t>
  </si>
  <si>
    <t>Santhiya</t>
  </si>
  <si>
    <t>Sugirtha</t>
  </si>
  <si>
    <t>Rezma</t>
  </si>
  <si>
    <t>GRADE</t>
  </si>
  <si>
    <t>Days</t>
  </si>
  <si>
    <t>Mon</t>
  </si>
  <si>
    <t>Tue</t>
  </si>
  <si>
    <t>Wed</t>
  </si>
  <si>
    <t>Thu</t>
  </si>
  <si>
    <t>Fri</t>
  </si>
  <si>
    <t>Sat</t>
  </si>
  <si>
    <t xml:space="preserve">Period 1 </t>
  </si>
  <si>
    <t>Period 2</t>
  </si>
  <si>
    <t>Period 3</t>
  </si>
  <si>
    <t>Period 4</t>
  </si>
  <si>
    <t>Lunch</t>
  </si>
  <si>
    <t xml:space="preserve">Period 5 </t>
  </si>
  <si>
    <t xml:space="preserve">Period 6 </t>
  </si>
  <si>
    <t xml:space="preserve">Period 7 </t>
  </si>
  <si>
    <t xml:space="preserve">Period 8 </t>
  </si>
  <si>
    <t>***</t>
  </si>
  <si>
    <t>Scienca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</si>
</sst>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textRotation="45"/>
    </xf>
    <xf numFmtId="0" fontId="0" fillId="2" borderId="2" xfId="0" applyFill="1" applyBorder="1" applyAlignment="1">
      <alignment horizontal="center" vertical="center" textRotation="45"/>
    </xf>
    <xf numFmtId="0" fontId="0" fillId="2" borderId="9" xfId="0" applyFill="1" applyBorder="1" applyAlignment="1">
      <alignment textRotation="45"/>
    </xf>
    <xf numFmtId="0" fontId="0" fillId="2" borderId="11" xfId="0" applyFill="1" applyBorder="1" applyAlignment="1">
      <alignment textRotation="45"/>
    </xf>
    <xf numFmtId="0" fontId="0" fillId="2" borderId="11" xfId="0" applyFill="1" applyBorder="1" applyAlignment="1">
      <alignment horizontal="center" vertical="center" textRotation="45"/>
    </xf>
    <xf numFmtId="0" fontId="0" fillId="2" borderId="12" xfId="0" applyFill="1" applyBorder="1" applyAlignment="1">
      <alignment textRotation="45"/>
    </xf>
    <xf numFmtId="0" fontId="0" fillId="3" borderId="8" xfId="0" applyFill="1" applyBorder="1" applyAlignment="1">
      <alignment textRotation="45"/>
    </xf>
    <xf numFmtId="0" fontId="0" fillId="3" borderId="10" xfId="0" applyFill="1" applyBorder="1" applyAlignment="1">
      <alignment textRotation="45"/>
    </xf>
    <xf numFmtId="0" fontId="0" fillId="3" borderId="5" xfId="0" applyFill="1" applyBorder="1" applyAlignment="1">
      <alignment textRotation="45"/>
    </xf>
    <xf numFmtId="0" fontId="0" fillId="2" borderId="6" xfId="0" applyFill="1" applyBorder="1" applyAlignment="1">
      <alignment textRotation="45"/>
    </xf>
    <xf numFmtId="0" fontId="0" fillId="2" borderId="6" xfId="0" applyFill="1" applyBorder="1" applyAlignment="1">
      <alignment horizontal="center" vertical="center" textRotation="45"/>
    </xf>
    <xf numFmtId="0" fontId="0" fillId="2" borderId="7" xfId="0" applyFill="1" applyBorder="1" applyAlignment="1">
      <alignment textRotation="45"/>
    </xf>
    <xf numFmtId="0" fontId="0" fillId="4" borderId="13" xfId="0" applyFill="1" applyBorder="1" applyAlignment="1">
      <alignment horizontal="left" vertical="center" textRotation="90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3" xfId="0" applyBorder="1"/>
    <xf numFmtId="0" fontId="0" fillId="5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13" xfId="0" applyFont="1" applyFill="1" applyBorder="1"/>
    <xf numFmtId="0" fontId="1" fillId="6" borderId="3" xfId="0" applyFont="1" applyFill="1" applyBorder="1" applyAlignment="1">
      <alignment horizontal="center"/>
    </xf>
  </cellXfs>
  <cellStyles count="1">
    <cellStyle name="Normal" xfId="0" builtinId="0"/>
  </cellStyles>
  <dxfs count="29">
    <dxf>
      <fill>
        <patternFill patternType="solid">
          <fgColor indexed="64"/>
          <bgColor theme="4" tint="0.59999389629810485"/>
        </patternFill>
      </fill>
      <border diagonalUp="0" diagonalDown="0">
        <left style="thin">
          <color theme="4"/>
        </left>
        <right/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theme="4"/>
        </left>
        <right/>
        <top/>
        <bottom style="thin">
          <color theme="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>
        <left/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/>
        <right style="thin">
          <color theme="4"/>
        </right>
        <top/>
        <bottom style="thin">
          <color theme="4"/>
        </bottom>
      </border>
    </dxf>
    <dxf>
      <border>
        <top style="thin">
          <color theme="4"/>
        </top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indexed="64"/>
          <bgColor theme="4" tint="0.59999389629810485"/>
        </patternFill>
      </fill>
    </dxf>
    <dxf>
      <border>
        <bottom style="thin">
          <color theme="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>
        <left style="thin">
          <color theme="4"/>
        </left>
        <right style="thin">
          <color theme="4"/>
        </right>
        <top/>
        <bottom/>
        <vertical style="thin">
          <color theme="4"/>
        </vertical>
        <horizontal style="thin">
          <color theme="4"/>
        </horizontal>
      </border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13" displayName="Table13" ref="B16:L22" headerRowCount="0" totalsRowShown="0" headerRowDxfId="26" dataDxfId="24" headerRowBorderDxfId="25" tableBorderDxfId="23" totalsRowBorderDxfId="22">
  <tableColumns count="11">
    <tableColumn id="1" name="Column1" headerRowDxfId="21" dataDxfId="20"/>
    <tableColumn id="2" name="Column2" headerRowDxfId="19" dataDxfId="18"/>
    <tableColumn id="3" name="Column3" headerRowDxfId="17" dataDxfId="16"/>
    <tableColumn id="4" name="Column4" headerRowDxfId="15" dataDxfId="14"/>
    <tableColumn id="5" name="Column5" headerRowDxfId="13" dataDxfId="12"/>
    <tableColumn id="6" name="Column6" headerRowDxfId="11" dataDxfId="10"/>
    <tableColumn id="7" name="Column7" headerRowDxfId="9" dataDxfId="8"/>
    <tableColumn id="8" name="Column8" headerRowDxfId="7" dataDxfId="6"/>
    <tableColumn id="9" name="Column9" headerRowDxfId="5" dataDxfId="4"/>
    <tableColumn id="10" name="Column10" headerRowDxfId="3" dataDxfId="2"/>
    <tableColumn id="11" name="Column11" headerRowDxfId="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abSelected="1" topLeftCell="A19" zoomScale="84" zoomScaleNormal="84" workbookViewId="0">
      <selection sqref="A1:M25"/>
    </sheetView>
  </sheetViews>
  <sheetFormatPr defaultRowHeight="12.75" x14ac:dyDescent="0.2"/>
  <cols>
    <col min="1" max="1" width="3.85546875" style="1" customWidth="1"/>
    <col min="2" max="2" width="11.5703125" style="1" customWidth="1"/>
    <col min="3" max="7" width="9.140625" style="1"/>
    <col min="9" max="16384" width="9.140625" style="1"/>
  </cols>
  <sheetData>
    <row r="1" spans="1:12" x14ac:dyDescent="0.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1" t="s">
        <v>6</v>
      </c>
      <c r="H1" s="22" t="s">
        <v>7</v>
      </c>
      <c r="I1" s="23" t="s">
        <v>8</v>
      </c>
      <c r="J1" s="20" t="s">
        <v>9</v>
      </c>
      <c r="K1" s="20" t="s">
        <v>17</v>
      </c>
    </row>
    <row r="2" spans="1:12" x14ac:dyDescent="0.2">
      <c r="A2" s="19">
        <v>1</v>
      </c>
      <c r="B2" s="2" t="s">
        <v>10</v>
      </c>
      <c r="C2" s="2">
        <v>87</v>
      </c>
      <c r="D2" s="2">
        <v>54</v>
      </c>
      <c r="E2" s="2">
        <v>87</v>
      </c>
      <c r="F2" s="2">
        <v>65</v>
      </c>
      <c r="G2" s="16">
        <v>89</v>
      </c>
      <c r="H2" s="18">
        <f>SUM(C2:G2)</f>
        <v>382</v>
      </c>
      <c r="I2" s="17">
        <f>H2/5</f>
        <v>76.400000000000006</v>
      </c>
      <c r="J2" s="2" t="str">
        <f>IF(AND(B2:F2)&gt;=35, "Pass", "Fail")</f>
        <v>Pass</v>
      </c>
      <c r="K2" s="2" t="str">
        <f>IF(H2&gt;=400, "A Grade", IF(H2&gt;=300, "B Grade"))</f>
        <v>B Grade</v>
      </c>
    </row>
    <row r="3" spans="1:12" x14ac:dyDescent="0.2">
      <c r="A3" s="19">
        <v>2</v>
      </c>
      <c r="B3" s="2" t="s">
        <v>11</v>
      </c>
      <c r="C3" s="2">
        <v>87</v>
      </c>
      <c r="D3" s="2">
        <v>56</v>
      </c>
      <c r="E3" s="2">
        <v>65</v>
      </c>
      <c r="F3" s="2">
        <v>54</v>
      </c>
      <c r="G3" s="16">
        <v>85</v>
      </c>
      <c r="H3" s="18">
        <f>SUM(C3:G3)</f>
        <v>347</v>
      </c>
      <c r="I3" s="17">
        <f t="shared" ref="I3:I8" si="0">H3/5</f>
        <v>69.400000000000006</v>
      </c>
      <c r="J3" s="2" t="str">
        <f t="shared" ref="J3:J8" si="1">IF(AND(B3:F3)&gt;=35, "Pass", "Fail")</f>
        <v>Pass</v>
      </c>
      <c r="K3" s="2" t="str">
        <f t="shared" ref="K3:K8" si="2">IF(H3&gt;=400, "A Grade", IF(H3&gt;=300, "B Grade"))</f>
        <v>B Grade</v>
      </c>
    </row>
    <row r="4" spans="1:12" x14ac:dyDescent="0.2">
      <c r="A4" s="19">
        <v>3</v>
      </c>
      <c r="B4" s="2" t="s">
        <v>12</v>
      </c>
      <c r="C4" s="2">
        <v>98</v>
      </c>
      <c r="D4" s="2">
        <v>99</v>
      </c>
      <c r="E4" s="2">
        <v>96</v>
      </c>
      <c r="F4" s="2">
        <v>78</v>
      </c>
      <c r="G4" s="16">
        <v>98</v>
      </c>
      <c r="H4" s="18">
        <f t="shared" ref="H4:H8" si="3">SUM(C4:G4)</f>
        <v>469</v>
      </c>
      <c r="I4" s="17">
        <f t="shared" si="0"/>
        <v>93.8</v>
      </c>
      <c r="J4" s="2" t="str">
        <f t="shared" si="1"/>
        <v>Pass</v>
      </c>
      <c r="K4" s="2" t="str">
        <f t="shared" si="2"/>
        <v>A Grade</v>
      </c>
    </row>
    <row r="5" spans="1:12" x14ac:dyDescent="0.2">
      <c r="A5" s="19">
        <v>4</v>
      </c>
      <c r="B5" s="2" t="s">
        <v>13</v>
      </c>
      <c r="C5" s="2">
        <v>78</v>
      </c>
      <c r="D5" s="2">
        <v>84</v>
      </c>
      <c r="E5" s="2">
        <v>96</v>
      </c>
      <c r="F5" s="2">
        <v>69</v>
      </c>
      <c r="G5" s="16">
        <v>87</v>
      </c>
      <c r="H5" s="18">
        <f t="shared" si="3"/>
        <v>414</v>
      </c>
      <c r="I5" s="17">
        <f t="shared" si="0"/>
        <v>82.8</v>
      </c>
      <c r="J5" s="2" t="str">
        <f t="shared" si="1"/>
        <v>Pass</v>
      </c>
      <c r="K5" s="2" t="str">
        <f t="shared" si="2"/>
        <v>A Grade</v>
      </c>
    </row>
    <row r="6" spans="1:12" x14ac:dyDescent="0.2">
      <c r="A6" s="19">
        <v>5</v>
      </c>
      <c r="B6" s="2" t="s">
        <v>14</v>
      </c>
      <c r="C6" s="2">
        <v>87</v>
      </c>
      <c r="D6" s="2">
        <v>95</v>
      </c>
      <c r="E6" s="2">
        <v>63</v>
      </c>
      <c r="F6" s="2">
        <v>59</v>
      </c>
      <c r="G6" s="16">
        <v>77</v>
      </c>
      <c r="H6" s="18">
        <f t="shared" si="3"/>
        <v>381</v>
      </c>
      <c r="I6" s="17">
        <f t="shared" si="0"/>
        <v>76.2</v>
      </c>
      <c r="J6" s="2" t="str">
        <f t="shared" si="1"/>
        <v>Pass</v>
      </c>
      <c r="K6" s="2" t="str">
        <f t="shared" si="2"/>
        <v>B Grade</v>
      </c>
    </row>
    <row r="7" spans="1:12" x14ac:dyDescent="0.2">
      <c r="A7" s="19">
        <v>6</v>
      </c>
      <c r="B7" s="2" t="s">
        <v>15</v>
      </c>
      <c r="C7" s="2">
        <v>59</v>
      </c>
      <c r="D7" s="2">
        <v>87</v>
      </c>
      <c r="E7" s="2">
        <v>77</v>
      </c>
      <c r="F7" s="2">
        <v>66</v>
      </c>
      <c r="G7" s="16">
        <v>88</v>
      </c>
      <c r="H7" s="18">
        <f t="shared" si="3"/>
        <v>377</v>
      </c>
      <c r="I7" s="17">
        <f t="shared" si="0"/>
        <v>75.400000000000006</v>
      </c>
      <c r="J7" s="2" t="str">
        <f t="shared" si="1"/>
        <v>Pass</v>
      </c>
      <c r="K7" s="2" t="str">
        <f t="shared" si="2"/>
        <v>B Grade</v>
      </c>
    </row>
    <row r="8" spans="1:12" x14ac:dyDescent="0.2">
      <c r="A8" s="19">
        <v>7</v>
      </c>
      <c r="B8" s="2" t="s">
        <v>16</v>
      </c>
      <c r="C8" s="2">
        <v>80</v>
      </c>
      <c r="D8" s="2">
        <v>49</v>
      </c>
      <c r="E8" s="2">
        <v>67</v>
      </c>
      <c r="F8" s="2">
        <v>59</v>
      </c>
      <c r="G8" s="16">
        <v>87</v>
      </c>
      <c r="H8" s="18">
        <f t="shared" si="3"/>
        <v>342</v>
      </c>
      <c r="I8" s="17">
        <f t="shared" si="0"/>
        <v>68.400000000000006</v>
      </c>
      <c r="J8" s="2" t="str">
        <f t="shared" si="1"/>
        <v>Pass</v>
      </c>
      <c r="K8" s="2" t="str">
        <f t="shared" si="2"/>
        <v>B Grade</v>
      </c>
    </row>
    <row r="16" spans="1:12" ht="42" x14ac:dyDescent="0.2">
      <c r="B16" s="15" t="s">
        <v>18</v>
      </c>
      <c r="C16" s="15" t="s">
        <v>25</v>
      </c>
      <c r="D16" s="15" t="s">
        <v>26</v>
      </c>
      <c r="E16" s="15" t="s">
        <v>27</v>
      </c>
      <c r="F16" s="15" t="s">
        <v>28</v>
      </c>
      <c r="G16" s="15" t="s">
        <v>29</v>
      </c>
      <c r="H16" s="15" t="s">
        <v>25</v>
      </c>
      <c r="I16" s="15" t="s">
        <v>30</v>
      </c>
      <c r="J16" s="15" t="s">
        <v>31</v>
      </c>
      <c r="K16" s="15" t="s">
        <v>32</v>
      </c>
      <c r="L16" s="15" t="s">
        <v>33</v>
      </c>
    </row>
    <row r="17" spans="2:12" ht="33" x14ac:dyDescent="0.2">
      <c r="B17" s="11" t="s">
        <v>19</v>
      </c>
      <c r="C17" s="12" t="s">
        <v>2</v>
      </c>
      <c r="D17" s="12" t="s">
        <v>4</v>
      </c>
      <c r="E17" s="12" t="s">
        <v>3</v>
      </c>
      <c r="F17" s="12" t="s">
        <v>5</v>
      </c>
      <c r="G17" s="13" t="s">
        <v>34</v>
      </c>
      <c r="H17" s="12" t="s">
        <v>6</v>
      </c>
      <c r="I17" s="12" t="s">
        <v>4</v>
      </c>
      <c r="J17" s="12" t="s">
        <v>4</v>
      </c>
      <c r="K17" s="12" t="s">
        <v>3</v>
      </c>
      <c r="L17" s="14" t="s">
        <v>5</v>
      </c>
    </row>
    <row r="18" spans="2:12" ht="33.75" x14ac:dyDescent="0.2">
      <c r="B18" s="9" t="s">
        <v>20</v>
      </c>
      <c r="C18" s="3" t="s">
        <v>4</v>
      </c>
      <c r="D18" s="3" t="s">
        <v>3</v>
      </c>
      <c r="E18" s="3" t="s">
        <v>5</v>
      </c>
      <c r="F18" s="3" t="s">
        <v>2</v>
      </c>
      <c r="G18" s="4" t="s">
        <v>34</v>
      </c>
      <c r="H18" s="3" t="s">
        <v>4</v>
      </c>
      <c r="I18" s="3" t="s">
        <v>35</v>
      </c>
      <c r="J18" s="3" t="s">
        <v>5</v>
      </c>
      <c r="K18" s="3" t="s">
        <v>6</v>
      </c>
      <c r="L18" s="5" t="s">
        <v>6</v>
      </c>
    </row>
    <row r="19" spans="2:12" ht="33" x14ac:dyDescent="0.2">
      <c r="B19" s="9" t="s">
        <v>21</v>
      </c>
      <c r="C19" s="3" t="s">
        <v>4</v>
      </c>
      <c r="D19" s="3" t="s">
        <v>3</v>
      </c>
      <c r="E19" s="3" t="s">
        <v>5</v>
      </c>
      <c r="F19" s="3" t="s">
        <v>6</v>
      </c>
      <c r="G19" s="4" t="s">
        <v>34</v>
      </c>
      <c r="H19" s="3" t="s">
        <v>6</v>
      </c>
      <c r="I19" s="3" t="s">
        <v>4</v>
      </c>
      <c r="J19" s="3" t="s">
        <v>4</v>
      </c>
      <c r="K19" s="3" t="s">
        <v>3</v>
      </c>
      <c r="L19" s="5" t="s">
        <v>5</v>
      </c>
    </row>
    <row r="20" spans="2:12" ht="33" x14ac:dyDescent="0.2">
      <c r="B20" s="9" t="s">
        <v>22</v>
      </c>
      <c r="C20" s="3" t="s">
        <v>6</v>
      </c>
      <c r="D20" s="3" t="s">
        <v>4</v>
      </c>
      <c r="E20" s="3" t="s">
        <v>3</v>
      </c>
      <c r="F20" s="3" t="s">
        <v>5</v>
      </c>
      <c r="G20" s="4" t="s">
        <v>34</v>
      </c>
      <c r="H20" s="3" t="s">
        <v>2</v>
      </c>
      <c r="I20" s="3" t="s">
        <v>4</v>
      </c>
      <c r="J20" s="3" t="s">
        <v>4</v>
      </c>
      <c r="K20" s="3" t="s">
        <v>3</v>
      </c>
      <c r="L20" s="5" t="s">
        <v>5</v>
      </c>
    </row>
    <row r="21" spans="2:12" ht="33" x14ac:dyDescent="0.2">
      <c r="B21" s="9" t="s">
        <v>23</v>
      </c>
      <c r="C21" s="3" t="s">
        <v>4</v>
      </c>
      <c r="D21" s="3" t="s">
        <v>5</v>
      </c>
      <c r="E21" s="3" t="s">
        <v>6</v>
      </c>
      <c r="F21" s="3" t="s">
        <v>6</v>
      </c>
      <c r="G21" s="4" t="s">
        <v>34</v>
      </c>
      <c r="H21" s="3" t="s">
        <v>4</v>
      </c>
      <c r="I21" s="3" t="s">
        <v>3</v>
      </c>
      <c r="J21" s="3" t="s">
        <v>3</v>
      </c>
      <c r="K21" s="3" t="s">
        <v>5</v>
      </c>
      <c r="L21" s="5" t="s">
        <v>2</v>
      </c>
    </row>
    <row r="22" spans="2:12" ht="33" x14ac:dyDescent="0.2">
      <c r="B22" s="10" t="s">
        <v>24</v>
      </c>
      <c r="C22" s="6" t="s">
        <v>6</v>
      </c>
      <c r="D22" s="6" t="s">
        <v>4</v>
      </c>
      <c r="E22" s="6" t="s">
        <v>3</v>
      </c>
      <c r="F22" s="6" t="s">
        <v>5</v>
      </c>
      <c r="G22" s="7" t="s">
        <v>34</v>
      </c>
      <c r="H22" s="6" t="s">
        <v>4</v>
      </c>
      <c r="I22" s="6" t="s">
        <v>3</v>
      </c>
      <c r="J22" s="6" t="s">
        <v>3</v>
      </c>
      <c r="K22" s="6" t="s">
        <v>5</v>
      </c>
      <c r="L22" s="8" t="s">
        <v>6</v>
      </c>
    </row>
  </sheetData>
  <conditionalFormatting sqref="H2:H8">
    <cfRule type="cellIs" dxfId="28" priority="2" operator="greaterThan">
      <formula>405.5</formula>
    </cfRule>
    <cfRule type="cellIs" dxfId="27" priority="1" operator="lessThan">
      <formula>405.5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PLANET ERODE</dc:creator>
  <cp:lastModifiedBy>PLANET ERODE</cp:lastModifiedBy>
  <cp:lastPrinted>2026-06-12T06:21:43Z</cp:lastPrinted>
  <dcterms:created xsi:type="dcterms:W3CDTF">2026-06-12T06:03:10Z</dcterms:created>
  <dcterms:modified xsi:type="dcterms:W3CDTF">2026-06-20T05:35:28Z</dcterms:modified>
</cp:coreProperties>
</file>