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. yaazh_iniyan\EXCEL\"/>
    </mc:Choice>
  </mc:AlternateContent>
  <bookViews>
    <workbookView xWindow="0" yWindow="0" windowWidth="15360" windowHeight="766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H6" i="2"/>
  <c r="H7" i="2"/>
  <c r="H8" i="2"/>
  <c r="H9" i="2"/>
  <c r="H10" i="2"/>
  <c r="H5" i="2"/>
  <c r="C20" i="1"/>
  <c r="F18" i="1"/>
  <c r="F16" i="1"/>
  <c r="F17" i="1"/>
  <c r="F15" i="1"/>
  <c r="D18" i="1"/>
  <c r="E18" i="1"/>
  <c r="C18" i="1"/>
  <c r="F11" i="1"/>
  <c r="F5" i="1"/>
  <c r="F6" i="1"/>
  <c r="F7" i="1"/>
  <c r="F8" i="1"/>
  <c r="F9" i="1"/>
  <c r="F10" i="1"/>
  <c r="F4" i="1"/>
  <c r="D11" i="1"/>
  <c r="E11" i="1"/>
  <c r="C11" i="1"/>
</calcChain>
</file>

<file path=xl/sharedStrings.xml><?xml version="1.0" encoding="utf-8"?>
<sst xmlns="http://schemas.openxmlformats.org/spreadsheetml/2006/main" count="54" uniqueCount="41">
  <si>
    <t>S.no</t>
  </si>
  <si>
    <t>Expenses</t>
  </si>
  <si>
    <t>January</t>
  </si>
  <si>
    <t>February</t>
  </si>
  <si>
    <t>March</t>
  </si>
  <si>
    <t>Totals</t>
  </si>
  <si>
    <t>Rent</t>
  </si>
  <si>
    <t>Car Payment</t>
  </si>
  <si>
    <t>Electricity bill</t>
  </si>
  <si>
    <t>Food</t>
  </si>
  <si>
    <t>Gas</t>
  </si>
  <si>
    <t>Snowboarding</t>
  </si>
  <si>
    <t>Telephone bill</t>
  </si>
  <si>
    <t>Total expenses</t>
  </si>
  <si>
    <t>Parents</t>
  </si>
  <si>
    <t>Parttime jobs</t>
  </si>
  <si>
    <t>Scholarships</t>
  </si>
  <si>
    <t>Total income</t>
  </si>
  <si>
    <t>Budget Balance</t>
  </si>
  <si>
    <t>Days</t>
  </si>
  <si>
    <t>In timing</t>
  </si>
  <si>
    <t>Out timing</t>
  </si>
  <si>
    <t>Work hours</t>
  </si>
  <si>
    <t>Lunch time</t>
  </si>
  <si>
    <t>Over time</t>
  </si>
  <si>
    <t>Total work time</t>
  </si>
  <si>
    <t>Monday</t>
  </si>
  <si>
    <t>Tuesday</t>
  </si>
  <si>
    <t>Wednesday</t>
  </si>
  <si>
    <t>Thursday</t>
  </si>
  <si>
    <t>Friday</t>
  </si>
  <si>
    <t>Saturday</t>
  </si>
  <si>
    <t>08:00am</t>
  </si>
  <si>
    <t>08:30am</t>
  </si>
  <si>
    <t>09:00am</t>
  </si>
  <si>
    <t>4:00pm</t>
  </si>
  <si>
    <t>3:30pm</t>
  </si>
  <si>
    <t>3:00pm</t>
  </si>
  <si>
    <t>2:30pm</t>
  </si>
  <si>
    <t>Total workhours</t>
  </si>
  <si>
    <t>Total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</si>
</sst>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B3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17ED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864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4" borderId="4" xfId="0" applyFill="1" applyBorder="1"/>
    <xf numFmtId="0" fontId="0" fillId="3" borderId="3" xfId="0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7" borderId="3" xfId="0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0" fontId="0" fillId="9" borderId="3" xfId="0" applyFill="1" applyBorder="1"/>
    <xf numFmtId="0" fontId="1" fillId="10" borderId="1" xfId="0" applyFont="1" applyFill="1" applyBorder="1"/>
    <xf numFmtId="0" fontId="0" fillId="10" borderId="1" xfId="0" applyFill="1" applyBorder="1"/>
    <xf numFmtId="0" fontId="0" fillId="8" borderId="3" xfId="0" applyFill="1" applyBorder="1" applyAlignment="1">
      <alignment horizontal="center"/>
    </xf>
    <xf numFmtId="0" fontId="1" fillId="11" borderId="1" xfId="0" applyFont="1" applyFill="1" applyBorder="1"/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1" fillId="0" borderId="0" xfId="0" applyFont="1"/>
    <xf numFmtId="164" fontId="0" fillId="11" borderId="1" xfId="0" applyNumberFormat="1" applyFill="1" applyBorder="1"/>
    <xf numFmtId="46" fontId="0" fillId="11" borderId="1" xfId="0" applyNumberFormat="1" applyFill="1" applyBorder="1"/>
    <xf numFmtId="0" fontId="1" fillId="12" borderId="1" xfId="0" applyFont="1" applyFill="1" applyBorder="1"/>
    <xf numFmtId="0" fontId="0" fillId="12" borderId="1" xfId="0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21" fontId="0" fillId="7" borderId="1" xfId="0" applyNumberFormat="1" applyFill="1" applyBorder="1"/>
    <xf numFmtId="0" fontId="1" fillId="7" borderId="1" xfId="0" applyFont="1" applyFill="1" applyBorder="1" applyAlignment="1">
      <alignment horizontal="center"/>
    </xf>
    <xf numFmtId="21" fontId="0" fillId="7" borderId="1" xfId="0" applyNumberFormat="1" applyFont="1" applyFill="1" applyBorder="1" applyAlignment="1">
      <alignment horizontal="center"/>
    </xf>
    <xf numFmtId="0" fontId="1" fillId="13" borderId="1" xfId="0" applyFont="1" applyFill="1" applyBorder="1"/>
    <xf numFmtId="20" fontId="0" fillId="13" borderId="1" xfId="0" applyNumberFormat="1" applyFill="1" applyBorder="1"/>
    <xf numFmtId="20" fontId="0" fillId="8" borderId="1" xfId="0" applyNumberFormat="1" applyFill="1" applyBorder="1"/>
    <xf numFmtId="0" fontId="1" fillId="8" borderId="1" xfId="0" applyFont="1" applyFill="1" applyBorder="1" applyAlignment="1">
      <alignment horizontal="center"/>
    </xf>
    <xf numFmtId="20" fontId="0" fillId="8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3FF"/>
      <color rgb="FFC86400"/>
      <color rgb="FFFF7347"/>
      <color rgb="FFEA3800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0"/>
  <sheetViews>
    <sheetView zoomScale="115" zoomScaleNormal="115" workbookViewId="0">
      <selection activeCell="H3" sqref="H3"/>
    </sheetView>
  </sheetViews>
  <sheetFormatPr defaultRowHeight="12.75" x14ac:dyDescent="0.2"/>
  <cols>
    <col min="1" max="1" width="8" customWidth="1"/>
    <col min="2" max="2" width="13.28515625" customWidth="1"/>
  </cols>
  <sheetData>
    <row r="3" spans="1:6" x14ac:dyDescent="0.2">
      <c r="A3" s="3" t="s">
        <v>0</v>
      </c>
      <c r="B3" s="6" t="s">
        <v>1</v>
      </c>
      <c r="C3" s="4" t="s">
        <v>2</v>
      </c>
      <c r="D3" s="12" t="s">
        <v>3</v>
      </c>
      <c r="E3" s="16" t="s">
        <v>4</v>
      </c>
      <c r="F3" s="19" t="s">
        <v>5</v>
      </c>
    </row>
    <row r="4" spans="1:6" x14ac:dyDescent="0.2">
      <c r="A4" s="3">
        <v>1</v>
      </c>
      <c r="B4" s="7" t="s">
        <v>6</v>
      </c>
      <c r="C4" s="5">
        <v>350</v>
      </c>
      <c r="D4" s="13">
        <v>350</v>
      </c>
      <c r="E4" s="17">
        <v>350</v>
      </c>
      <c r="F4" s="20">
        <f>SUM(C4:E4)</f>
        <v>1050</v>
      </c>
    </row>
    <row r="5" spans="1:6" x14ac:dyDescent="0.2">
      <c r="A5" s="3">
        <v>2</v>
      </c>
      <c r="B5" s="7" t="s">
        <v>7</v>
      </c>
      <c r="C5" s="5">
        <v>235</v>
      </c>
      <c r="D5" s="13">
        <v>235</v>
      </c>
      <c r="E5" s="17">
        <v>215</v>
      </c>
      <c r="F5" s="20">
        <f t="shared" ref="F5:F10" si="0">SUM(C5:E5)</f>
        <v>685</v>
      </c>
    </row>
    <row r="6" spans="1:6" x14ac:dyDescent="0.2">
      <c r="A6" s="3">
        <v>3</v>
      </c>
      <c r="B6" s="7" t="s">
        <v>8</v>
      </c>
      <c r="C6" s="5">
        <v>100</v>
      </c>
      <c r="D6" s="13">
        <v>95</v>
      </c>
      <c r="E6" s="17">
        <v>85</v>
      </c>
      <c r="F6" s="20">
        <f t="shared" si="0"/>
        <v>280</v>
      </c>
    </row>
    <row r="7" spans="1:6" x14ac:dyDescent="0.2">
      <c r="A7" s="3">
        <v>4</v>
      </c>
      <c r="B7" s="7" t="s">
        <v>9</v>
      </c>
      <c r="C7" s="5">
        <v>50</v>
      </c>
      <c r="D7" s="13">
        <v>35</v>
      </c>
      <c r="E7" s="17">
        <v>40</v>
      </c>
      <c r="F7" s="20">
        <f t="shared" si="0"/>
        <v>125</v>
      </c>
    </row>
    <row r="8" spans="1:6" x14ac:dyDescent="0.2">
      <c r="A8" s="3">
        <v>5</v>
      </c>
      <c r="B8" s="7" t="s">
        <v>10</v>
      </c>
      <c r="C8" s="5">
        <v>200</v>
      </c>
      <c r="D8" s="13">
        <v>215</v>
      </c>
      <c r="E8" s="17">
        <v>195</v>
      </c>
      <c r="F8" s="20">
        <f t="shared" si="0"/>
        <v>610</v>
      </c>
    </row>
    <row r="9" spans="1:6" x14ac:dyDescent="0.2">
      <c r="A9" s="3">
        <v>6</v>
      </c>
      <c r="B9" s="7" t="s">
        <v>11</v>
      </c>
      <c r="C9" s="5">
        <v>80</v>
      </c>
      <c r="D9" s="13">
        <v>60</v>
      </c>
      <c r="E9" s="17">
        <v>50</v>
      </c>
      <c r="F9" s="20">
        <f t="shared" si="0"/>
        <v>190</v>
      </c>
    </row>
    <row r="10" spans="1:6" x14ac:dyDescent="0.2">
      <c r="A10" s="3">
        <v>7</v>
      </c>
      <c r="B10" s="8" t="s">
        <v>12</v>
      </c>
      <c r="C10" s="5">
        <v>125</v>
      </c>
      <c r="D10" s="13">
        <v>150</v>
      </c>
      <c r="E10" s="17">
        <v>125</v>
      </c>
      <c r="F10" s="20">
        <f t="shared" si="0"/>
        <v>400</v>
      </c>
    </row>
    <row r="11" spans="1:6" x14ac:dyDescent="0.2">
      <c r="A11" s="2"/>
      <c r="B11" s="6" t="s">
        <v>13</v>
      </c>
      <c r="C11" s="9">
        <f>SUM(C4:C10)</f>
        <v>1140</v>
      </c>
      <c r="D11" s="14">
        <f t="shared" ref="D11:E11" si="1">SUM(D4:D10)</f>
        <v>1140</v>
      </c>
      <c r="E11" s="18">
        <f t="shared" si="1"/>
        <v>1060</v>
      </c>
      <c r="F11" s="19">
        <f>SUM(C11:E11)</f>
        <v>3340</v>
      </c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3" t="s">
        <v>0</v>
      </c>
      <c r="B14" s="6" t="s">
        <v>1</v>
      </c>
      <c r="C14" s="4" t="s">
        <v>2</v>
      </c>
      <c r="D14" s="12" t="s">
        <v>3</v>
      </c>
      <c r="E14" s="16" t="s">
        <v>4</v>
      </c>
      <c r="F14" s="19" t="s">
        <v>5</v>
      </c>
    </row>
    <row r="15" spans="1:6" x14ac:dyDescent="0.2">
      <c r="A15" s="3">
        <v>1</v>
      </c>
      <c r="B15" s="7" t="s">
        <v>14</v>
      </c>
      <c r="C15" s="5">
        <v>800</v>
      </c>
      <c r="D15" s="13">
        <v>800</v>
      </c>
      <c r="E15" s="17">
        <v>800</v>
      </c>
      <c r="F15" s="20">
        <f>SUM(C15:E15)</f>
        <v>2400</v>
      </c>
    </row>
    <row r="16" spans="1:6" x14ac:dyDescent="0.2">
      <c r="A16" s="3">
        <v>2</v>
      </c>
      <c r="B16" s="7" t="s">
        <v>15</v>
      </c>
      <c r="C16" s="5">
        <v>300</v>
      </c>
      <c r="D16" s="13">
        <v>250</v>
      </c>
      <c r="E16" s="17">
        <v>215</v>
      </c>
      <c r="F16" s="20">
        <f t="shared" ref="F16:F17" si="2">SUM(C16:E16)</f>
        <v>765</v>
      </c>
    </row>
    <row r="17" spans="1:6" x14ac:dyDescent="0.2">
      <c r="A17" s="3">
        <v>3</v>
      </c>
      <c r="B17" s="7" t="s">
        <v>16</v>
      </c>
      <c r="C17" s="5">
        <v>200</v>
      </c>
      <c r="D17" s="13">
        <v>250</v>
      </c>
      <c r="E17" s="17">
        <v>200</v>
      </c>
      <c r="F17" s="20">
        <f t="shared" si="2"/>
        <v>650</v>
      </c>
    </row>
    <row r="18" spans="1:6" x14ac:dyDescent="0.2">
      <c r="B18" s="6" t="s">
        <v>17</v>
      </c>
      <c r="C18" s="5">
        <f>SUM(C15:C17)</f>
        <v>1300</v>
      </c>
      <c r="D18" s="13">
        <f t="shared" ref="D18:E18" si="3">SUM(D15:D17)</f>
        <v>1300</v>
      </c>
      <c r="E18" s="17">
        <f t="shared" si="3"/>
        <v>1215</v>
      </c>
      <c r="F18" s="19">
        <f>SUM(C18:E18)</f>
        <v>3815</v>
      </c>
    </row>
    <row r="20" spans="1:6" x14ac:dyDescent="0.2">
      <c r="B20" s="22" t="s">
        <v>18</v>
      </c>
      <c r="C20" s="23">
        <f>F18-F11</f>
        <v>475</v>
      </c>
      <c r="D20" s="24"/>
    </row>
  </sheetData>
  <mergeCells count="2">
    <mergeCell ref="A12:F13"/>
    <mergeCell ref="C20:D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5"/>
  <sheetViews>
    <sheetView tabSelected="1" topLeftCell="A16" zoomScale="130" zoomScaleNormal="130" workbookViewId="0">
      <selection activeCell="A4" sqref="A4:H10"/>
    </sheetView>
  </sheetViews>
  <sheetFormatPr defaultRowHeight="12.75" x14ac:dyDescent="0.2"/>
  <cols>
    <col min="1" max="1" width="6" customWidth="1"/>
    <col min="3" max="7" width="10.7109375" customWidth="1"/>
    <col min="8" max="8" width="14.28515625" customWidth="1"/>
  </cols>
  <sheetData>
    <row r="4" spans="1:8" x14ac:dyDescent="0.2">
      <c r="A4" s="3" t="s">
        <v>0</v>
      </c>
      <c r="B4" s="28" t="s">
        <v>19</v>
      </c>
      <c r="C4" s="11" t="s">
        <v>20</v>
      </c>
      <c r="D4" s="10" t="s">
        <v>21</v>
      </c>
      <c r="E4" s="12" t="s">
        <v>22</v>
      </c>
      <c r="F4" s="35" t="s">
        <v>23</v>
      </c>
      <c r="G4" s="15" t="s">
        <v>24</v>
      </c>
      <c r="H4" s="22" t="s">
        <v>25</v>
      </c>
    </row>
    <row r="5" spans="1:8" x14ac:dyDescent="0.2">
      <c r="A5" s="3">
        <v>1</v>
      </c>
      <c r="B5" s="29" t="s">
        <v>26</v>
      </c>
      <c r="C5" s="31" t="s">
        <v>32</v>
      </c>
      <c r="D5" s="30" t="s">
        <v>35</v>
      </c>
      <c r="E5" s="32">
        <v>8.3333333333333339</v>
      </c>
      <c r="F5" s="36">
        <v>4.1666666666666664E-2</v>
      </c>
      <c r="G5" s="37">
        <v>8.3333333333333329E-2</v>
      </c>
      <c r="H5" s="26">
        <f>E5-F5+G5</f>
        <v>8.3750000000000018</v>
      </c>
    </row>
    <row r="6" spans="1:8" x14ac:dyDescent="0.2">
      <c r="A6" s="3">
        <v>2</v>
      </c>
      <c r="B6" s="29" t="s">
        <v>27</v>
      </c>
      <c r="C6" s="31" t="s">
        <v>32</v>
      </c>
      <c r="D6" s="30" t="s">
        <v>36</v>
      </c>
      <c r="E6" s="32">
        <v>7.3125</v>
      </c>
      <c r="F6" s="36">
        <v>4.1666666666666664E-2</v>
      </c>
      <c r="G6" s="37">
        <v>4.1666666666666664E-2</v>
      </c>
      <c r="H6" s="26">
        <f t="shared" ref="H6:H10" si="0">E6-F6+G6</f>
        <v>7.3125</v>
      </c>
    </row>
    <row r="7" spans="1:8" x14ac:dyDescent="0.2">
      <c r="A7" s="3">
        <v>3</v>
      </c>
      <c r="B7" s="29" t="s">
        <v>28</v>
      </c>
      <c r="C7" s="31" t="s">
        <v>33</v>
      </c>
      <c r="D7" s="30" t="s">
        <v>35</v>
      </c>
      <c r="E7" s="32">
        <v>7.3125</v>
      </c>
      <c r="F7" s="36">
        <v>4.1666666666666664E-2</v>
      </c>
      <c r="G7" s="37">
        <v>0</v>
      </c>
      <c r="H7" s="26">
        <f t="shared" si="0"/>
        <v>7.270833333333333</v>
      </c>
    </row>
    <row r="8" spans="1:8" x14ac:dyDescent="0.2">
      <c r="A8" s="3">
        <v>4</v>
      </c>
      <c r="B8" s="29" t="s">
        <v>29</v>
      </c>
      <c r="C8" s="31" t="s">
        <v>34</v>
      </c>
      <c r="D8" s="30" t="s">
        <v>35</v>
      </c>
      <c r="E8" s="32">
        <v>7.291666666666667</v>
      </c>
      <c r="F8" s="36">
        <v>4.1666666666666664E-2</v>
      </c>
      <c r="G8" s="37">
        <v>0</v>
      </c>
      <c r="H8" s="26">
        <f t="shared" si="0"/>
        <v>7.25</v>
      </c>
    </row>
    <row r="9" spans="1:8" x14ac:dyDescent="0.2">
      <c r="A9" s="3">
        <v>5</v>
      </c>
      <c r="B9" s="29" t="s">
        <v>30</v>
      </c>
      <c r="C9" s="31" t="s">
        <v>32</v>
      </c>
      <c r="D9" s="30" t="s">
        <v>37</v>
      </c>
      <c r="E9" s="32">
        <v>7.291666666666667</v>
      </c>
      <c r="F9" s="36">
        <v>4.1666666666666664E-2</v>
      </c>
      <c r="G9" s="37">
        <v>0.125</v>
      </c>
      <c r="H9" s="26">
        <f t="shared" si="0"/>
        <v>7.375</v>
      </c>
    </row>
    <row r="10" spans="1:8" x14ac:dyDescent="0.2">
      <c r="A10" s="3">
        <v>6</v>
      </c>
      <c r="B10" s="29" t="s">
        <v>31</v>
      </c>
      <c r="C10" s="31" t="s">
        <v>32</v>
      </c>
      <c r="D10" s="30" t="s">
        <v>38</v>
      </c>
      <c r="E10" s="32">
        <v>6.270833333333333</v>
      </c>
      <c r="F10" s="36">
        <v>4.1666666666666664E-2</v>
      </c>
      <c r="G10" s="37">
        <v>0.16666666666666666</v>
      </c>
      <c r="H10" s="26">
        <f t="shared" si="0"/>
        <v>6.395833333333333</v>
      </c>
    </row>
    <row r="11" spans="1:8" x14ac:dyDescent="0.2">
      <c r="A11" s="25"/>
    </row>
    <row r="12" spans="1:8" x14ac:dyDescent="0.2">
      <c r="D12" s="33" t="s">
        <v>39</v>
      </c>
      <c r="E12" s="33"/>
      <c r="F12" s="38" t="s">
        <v>40</v>
      </c>
      <c r="G12" s="38"/>
      <c r="H12" s="22" t="s">
        <v>25</v>
      </c>
    </row>
    <row r="13" spans="1:8" x14ac:dyDescent="0.2">
      <c r="D13" s="34">
        <v>1.8125</v>
      </c>
      <c r="E13" s="34"/>
      <c r="F13" s="39">
        <f>SUM(F5:F10)</f>
        <v>0.24999999999999997</v>
      </c>
      <c r="G13" s="21"/>
      <c r="H13" s="27">
        <v>1.9791666666666667</v>
      </c>
    </row>
    <row r="15" spans="1:8" ht="11.25" customHeight="1" x14ac:dyDescent="0.2"/>
  </sheetData>
  <mergeCells count="4">
    <mergeCell ref="D12:E12"/>
    <mergeCell ref="F12:G12"/>
    <mergeCell ref="D13:E13"/>
    <mergeCell ref="F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ERODE</dc:creator>
  <cp:lastModifiedBy>PLANET ERODE</cp:lastModifiedBy>
  <dcterms:created xsi:type="dcterms:W3CDTF">2026-06-17T05:58:45Z</dcterms:created>
  <dcterms:modified xsi:type="dcterms:W3CDTF">2026-06-17T06:38:47Z</dcterms:modified>
</cp:coreProperties>
</file>