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-pc\e\Yaazh Iniyan J\EXCEL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E16" i="1"/>
  <c r="F16" i="1"/>
  <c r="C16" i="1"/>
  <c r="D13" i="1"/>
  <c r="E13" i="1"/>
  <c r="F13" i="1"/>
  <c r="C13" i="1"/>
  <c r="D15" i="1"/>
  <c r="E15" i="1"/>
  <c r="F15" i="1"/>
  <c r="C15" i="1"/>
  <c r="D14" i="1"/>
  <c r="E14" i="1"/>
  <c r="F14" i="1"/>
  <c r="C14" i="1"/>
  <c r="D12" i="1"/>
  <c r="E12" i="1"/>
  <c r="F12" i="1"/>
  <c r="C12" i="1"/>
  <c r="F6" i="1"/>
  <c r="F7" i="1"/>
  <c r="F8" i="1"/>
  <c r="F9" i="1"/>
  <c r="F10" i="1"/>
  <c r="F5" i="1"/>
  <c r="E6" i="1"/>
  <c r="E7" i="1"/>
  <c r="E8" i="1"/>
  <c r="E9" i="1"/>
  <c r="E10" i="1"/>
  <c r="E5" i="1"/>
</calcChain>
</file>

<file path=xl/sharedStrings.xml><?xml version="1.0" encoding="utf-8"?>
<sst xmlns="http://schemas.openxmlformats.org/spreadsheetml/2006/main" count="25" uniqueCount="25">
  <si>
    <t>S101</t>
  </si>
  <si>
    <t>S102</t>
  </si>
  <si>
    <t>S103</t>
  </si>
  <si>
    <t>S104</t>
  </si>
  <si>
    <t>S105</t>
  </si>
  <si>
    <t>S106</t>
  </si>
  <si>
    <t>SAI COMPUTER</t>
  </si>
  <si>
    <t>Monthly Sales Report - July 2022</t>
  </si>
  <si>
    <t>Emp.No</t>
  </si>
  <si>
    <t>Name</t>
  </si>
  <si>
    <t>Salary</t>
  </si>
  <si>
    <t>Sales Amount</t>
  </si>
  <si>
    <t>Commission</t>
  </si>
  <si>
    <t>Total Salary</t>
  </si>
  <si>
    <t>Durai</t>
  </si>
  <si>
    <t>Prabu</t>
  </si>
  <si>
    <t>Suresh</t>
  </si>
  <si>
    <t>Gopinath</t>
  </si>
  <si>
    <t>Geetha</t>
  </si>
  <si>
    <t>Moha</t>
  </si>
  <si>
    <t>Total</t>
  </si>
  <si>
    <t>Average</t>
  </si>
  <si>
    <t>Highest</t>
  </si>
  <si>
    <t>Lowest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</si>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</sst>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43" fontId="0" fillId="0" borderId="2" xfId="1" applyFont="1" applyBorder="1"/>
    <xf numFmtId="43" fontId="0" fillId="0" borderId="2" xfId="1" applyNumberFormat="1" applyFont="1" applyBorder="1"/>
    <xf numFmtId="164" fontId="0" fillId="0" borderId="2" xfId="1" applyNumberFormat="1" applyFont="1" applyBorder="1"/>
    <xf numFmtId="0" fontId="5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15" zoomScaleNormal="115" workbookViewId="0">
      <selection activeCell="C16" sqref="C16:F16"/>
    </sheetView>
  </sheetViews>
  <sheetFormatPr defaultRowHeight="15" x14ac:dyDescent="0.25"/>
  <cols>
    <col min="1" max="1" width="8.7109375" customWidth="1"/>
    <col min="2" max="2" width="14.7109375" customWidth="1"/>
    <col min="3" max="4" width="15.7109375" customWidth="1"/>
    <col min="5" max="6" width="14.7109375" customWidth="1"/>
  </cols>
  <sheetData>
    <row r="1" spans="1:6" ht="24.75" customHeight="1" thickBot="1" x14ac:dyDescent="0.4">
      <c r="A1" s="6" t="s">
        <v>6</v>
      </c>
      <c r="B1" s="7"/>
      <c r="C1" s="7"/>
      <c r="D1" s="7"/>
      <c r="E1" s="7"/>
      <c r="F1" s="7"/>
    </row>
    <row r="2" spans="1:6" ht="18" customHeight="1" thickBot="1" x14ac:dyDescent="0.3">
      <c r="A2" s="8" t="s">
        <v>7</v>
      </c>
      <c r="B2" s="9"/>
      <c r="C2" s="9"/>
      <c r="D2" s="9"/>
      <c r="E2" s="9"/>
      <c r="F2" s="9"/>
    </row>
    <row r="3" spans="1:6" ht="15.75" thickBot="1" x14ac:dyDescent="0.3">
      <c r="A3" s="10"/>
      <c r="B3" s="11"/>
      <c r="C3" s="11"/>
      <c r="D3" s="11"/>
      <c r="E3" s="11"/>
      <c r="F3" s="12"/>
    </row>
    <row r="4" spans="1:6" ht="36" customHeight="1" thickBot="1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5.75" thickBot="1" x14ac:dyDescent="0.3">
      <c r="A5" s="1" t="s">
        <v>0</v>
      </c>
      <c r="B5" s="1" t="s">
        <v>14</v>
      </c>
      <c r="C5" s="4">
        <v>10500</v>
      </c>
      <c r="D5" s="4">
        <v>125000</v>
      </c>
      <c r="E5" s="3">
        <f>D5*2%</f>
        <v>2500</v>
      </c>
      <c r="F5" s="3">
        <f>SUM(C5+E5)</f>
        <v>13000</v>
      </c>
    </row>
    <row r="6" spans="1:6" ht="15.75" thickBot="1" x14ac:dyDescent="0.3">
      <c r="A6" s="1" t="s">
        <v>1</v>
      </c>
      <c r="B6" s="1" t="s">
        <v>15</v>
      </c>
      <c r="C6" s="4">
        <v>25000</v>
      </c>
      <c r="D6" s="4">
        <v>250000</v>
      </c>
      <c r="E6" s="3">
        <f t="shared" ref="E6:E10" si="0">D6*2%</f>
        <v>5000</v>
      </c>
      <c r="F6" s="3">
        <f t="shared" ref="F6:F10" si="1">SUM(C6+E6)</f>
        <v>30000</v>
      </c>
    </row>
    <row r="7" spans="1:6" ht="15.75" thickBot="1" x14ac:dyDescent="0.3">
      <c r="A7" s="1" t="s">
        <v>2</v>
      </c>
      <c r="B7" s="1" t="s">
        <v>16</v>
      </c>
      <c r="C7" s="4">
        <v>14000</v>
      </c>
      <c r="D7" s="4">
        <v>97500</v>
      </c>
      <c r="E7" s="3">
        <f t="shared" si="0"/>
        <v>1950</v>
      </c>
      <c r="F7" s="3">
        <f t="shared" si="1"/>
        <v>15950</v>
      </c>
    </row>
    <row r="8" spans="1:6" ht="15.75" thickBot="1" x14ac:dyDescent="0.3">
      <c r="A8" s="1" t="s">
        <v>3</v>
      </c>
      <c r="B8" s="1" t="s">
        <v>17</v>
      </c>
      <c r="C8" s="4">
        <v>18000</v>
      </c>
      <c r="D8" s="4">
        <v>138000</v>
      </c>
      <c r="E8" s="3">
        <f t="shared" si="0"/>
        <v>2760</v>
      </c>
      <c r="F8" s="3">
        <f t="shared" si="1"/>
        <v>20760</v>
      </c>
    </row>
    <row r="9" spans="1:6" ht="15.75" thickBot="1" x14ac:dyDescent="0.3">
      <c r="A9" s="1" t="s">
        <v>4</v>
      </c>
      <c r="B9" s="1" t="s">
        <v>18</v>
      </c>
      <c r="C9" s="4">
        <v>15000</v>
      </c>
      <c r="D9" s="4">
        <v>147800</v>
      </c>
      <c r="E9" s="3">
        <f t="shared" si="0"/>
        <v>2956</v>
      </c>
      <c r="F9" s="3">
        <f t="shared" si="1"/>
        <v>17956</v>
      </c>
    </row>
    <row r="10" spans="1:6" ht="15.75" thickBot="1" x14ac:dyDescent="0.3">
      <c r="A10" s="1" t="s">
        <v>5</v>
      </c>
      <c r="B10" s="1" t="s">
        <v>19</v>
      </c>
      <c r="C10" s="4">
        <v>12250</v>
      </c>
      <c r="D10" s="4">
        <v>123250</v>
      </c>
      <c r="E10" s="3">
        <f t="shared" si="0"/>
        <v>2465</v>
      </c>
      <c r="F10" s="3">
        <f t="shared" si="1"/>
        <v>14715</v>
      </c>
    </row>
    <row r="11" spans="1:6" ht="15.75" thickBot="1" x14ac:dyDescent="0.3">
      <c r="A11" s="1"/>
      <c r="B11" s="1"/>
      <c r="C11" s="4"/>
      <c r="D11" s="4"/>
      <c r="E11" s="3"/>
      <c r="F11" s="3"/>
    </row>
    <row r="12" spans="1:6" ht="15.75" thickBot="1" x14ac:dyDescent="0.3">
      <c r="A12" s="1"/>
      <c r="B12" s="1" t="s">
        <v>20</v>
      </c>
      <c r="C12" s="4">
        <f>SUM(C5:C10)</f>
        <v>94750</v>
      </c>
      <c r="D12" s="4">
        <f t="shared" ref="D12:F12" si="2">SUM(D5:D10)</f>
        <v>881550</v>
      </c>
      <c r="E12" s="3">
        <f t="shared" si="2"/>
        <v>17631</v>
      </c>
      <c r="F12" s="3">
        <f t="shared" si="2"/>
        <v>112381</v>
      </c>
    </row>
    <row r="13" spans="1:6" ht="15.75" thickBot="1" x14ac:dyDescent="0.3">
      <c r="A13" s="1"/>
      <c r="B13" s="1" t="s">
        <v>21</v>
      </c>
      <c r="C13" s="4">
        <f>C12/6</f>
        <v>15791.666666666666</v>
      </c>
      <c r="D13" s="4">
        <f t="shared" ref="D13:F13" si="3">D12/6</f>
        <v>146925</v>
      </c>
      <c r="E13" s="3">
        <f t="shared" si="3"/>
        <v>2938.5</v>
      </c>
      <c r="F13" s="3">
        <f t="shared" si="3"/>
        <v>18730.166666666668</v>
      </c>
    </row>
    <row r="14" spans="1:6" ht="15.75" thickBot="1" x14ac:dyDescent="0.3">
      <c r="A14" s="1"/>
      <c r="B14" s="1" t="s">
        <v>22</v>
      </c>
      <c r="C14" s="4">
        <f>MAX(C5:C10)</f>
        <v>25000</v>
      </c>
      <c r="D14" s="4">
        <f t="shared" ref="D14:F14" si="4">MAX(D5:D10)</f>
        <v>250000</v>
      </c>
      <c r="E14" s="3">
        <f t="shared" si="4"/>
        <v>5000</v>
      </c>
      <c r="F14" s="3">
        <f t="shared" si="4"/>
        <v>30000</v>
      </c>
    </row>
    <row r="15" spans="1:6" ht="15.75" thickBot="1" x14ac:dyDescent="0.3">
      <c r="A15" s="1"/>
      <c r="B15" s="1" t="s">
        <v>23</v>
      </c>
      <c r="C15" s="4">
        <f>MIN(C5:C10)</f>
        <v>10500</v>
      </c>
      <c r="D15" s="4">
        <f t="shared" ref="D15:F15" si="5">MIN(D5:D10)</f>
        <v>97500</v>
      </c>
      <c r="E15" s="3">
        <f t="shared" si="5"/>
        <v>1950</v>
      </c>
      <c r="F15" s="3">
        <f t="shared" si="5"/>
        <v>13000</v>
      </c>
    </row>
    <row r="16" spans="1:6" ht="15.75" thickBot="1" x14ac:dyDescent="0.3">
      <c r="A16" s="1"/>
      <c r="B16" s="1" t="s">
        <v>24</v>
      </c>
      <c r="C16" s="5">
        <f>COUNT(C5:C10)</f>
        <v>6</v>
      </c>
      <c r="D16" s="5">
        <f t="shared" ref="D16:F16" si="6">COUNT(D5:D10)</f>
        <v>6</v>
      </c>
      <c r="E16" s="5">
        <f t="shared" si="6"/>
        <v>6</v>
      </c>
      <c r="F16" s="5">
        <f t="shared" si="6"/>
        <v>6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PLANET ERODE</cp:lastModifiedBy>
  <dcterms:created xsi:type="dcterms:W3CDTF">2026-06-16T05:27:18Z</dcterms:created>
  <dcterms:modified xsi:type="dcterms:W3CDTF">2026-06-26T07:09:00Z</dcterms:modified>
</cp:coreProperties>
</file>