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Yaazh Iniyan J\EXCEL\"/>
    </mc:Choice>
  </mc:AlternateContent>
  <bookViews>
    <workbookView xWindow="0" yWindow="0" windowWidth="15360" windowHeight="7665" activeTab="3"/>
  </bookViews>
  <sheets>
    <sheet name="Sheet1" sheetId="2" r:id="rId1"/>
    <sheet name="Sheet2" sheetId="1" r:id="rId2"/>
    <sheet name="Sheet3" sheetId="4" r:id="rId3"/>
    <sheet name="Sheet4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1" l="1"/>
  <c r="H3" i="2" l="1"/>
  <c r="H4" i="2"/>
  <c r="H5" i="2"/>
  <c r="H6" i="2"/>
  <c r="H7" i="2"/>
  <c r="H8" i="2"/>
  <c r="H2" i="2"/>
  <c r="G3" i="2"/>
  <c r="G4" i="2"/>
  <c r="G5" i="2"/>
  <c r="G6" i="2"/>
  <c r="G7" i="2"/>
  <c r="G8" i="2"/>
  <c r="G2" i="2"/>
  <c r="D4" i="1" l="1"/>
  <c r="D5" i="1"/>
  <c r="D6" i="1"/>
  <c r="D7" i="1"/>
  <c r="D8" i="1"/>
  <c r="D9" i="1"/>
  <c r="D10" i="1"/>
  <c r="D11" i="1"/>
  <c r="D12" i="1"/>
  <c r="D13" i="1"/>
  <c r="D14" i="1"/>
  <c r="D3" i="1"/>
  <c r="B15" i="1"/>
</calcChain>
</file>

<file path=xl/sharedStrings.xml><?xml version="1.0" encoding="utf-8"?>
<sst xmlns="http://schemas.openxmlformats.org/spreadsheetml/2006/main" count="75" uniqueCount="67">
  <si>
    <t>General Merchandise World 2021 Retail Sales (in millions)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</si>
  <si>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</si>
  <si>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</si>
  <si>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</si>
  <si>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</si>
  <si>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</si>
  <si>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</si>
  <si>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</si>
  <si>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</si>
  <si>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</si>
  <si>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</si>
  <si>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</si>
  <si>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</si>
  <si>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</si>
  <si>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Unit Sales</t>
  </si>
  <si>
    <t>Average Price</t>
  </si>
  <si>
    <t>Sales Rs.</t>
  </si>
  <si>
    <t>Total Sales</t>
  </si>
  <si>
    <t>Shops</t>
  </si>
  <si>
    <t>Sales</t>
  </si>
  <si>
    <t>Rent</t>
  </si>
  <si>
    <t>Salary</t>
  </si>
  <si>
    <t>Electricity</t>
  </si>
  <si>
    <t>Total Expnses</t>
  </si>
  <si>
    <t>Profit</t>
  </si>
  <si>
    <t>Abc &amp; Co</t>
  </si>
  <si>
    <t>Gms &amp; Co</t>
  </si>
  <si>
    <t>Bs &amp; Co</t>
  </si>
  <si>
    <t>Lg &amp; Co</t>
  </si>
  <si>
    <t>Rani &amp; Co</t>
  </si>
  <si>
    <t>Css &amp; Co</t>
  </si>
  <si>
    <t>Kk &amp; Co</t>
  </si>
  <si>
    <t>Vocation packing list:</t>
  </si>
  <si>
    <t>Documents:</t>
  </si>
  <si>
    <t xml:space="preserve">            Passport/Maps/Tickets/Reservation Vouchers/Important Contacts.</t>
  </si>
  <si>
    <t>Electronics:</t>
  </si>
  <si>
    <t xml:space="preserve">           Mobile Phone/Charger/Camera/Laptop/E-book reader.</t>
  </si>
  <si>
    <t>Money:</t>
  </si>
  <si>
    <t xml:space="preserve">          Cash/Wallet/Debit Card/Credit Card/Travellers Cheque.</t>
  </si>
  <si>
    <t>Vocation Packing Expenses</t>
  </si>
  <si>
    <t>Documents</t>
  </si>
  <si>
    <t>Electronics</t>
  </si>
  <si>
    <t>Money</t>
  </si>
  <si>
    <t>Passport</t>
  </si>
  <si>
    <t>Map</t>
  </si>
  <si>
    <t>Tickets</t>
  </si>
  <si>
    <t>Reservation Vouchers</t>
  </si>
  <si>
    <t>Important Contacts</t>
  </si>
  <si>
    <t>Mobiole Phone</t>
  </si>
  <si>
    <t>Charger</t>
  </si>
  <si>
    <t>Laptop</t>
  </si>
  <si>
    <t>Camera</t>
  </si>
  <si>
    <t>E-book reader</t>
  </si>
  <si>
    <t>Cash</t>
  </si>
  <si>
    <t>Wallet</t>
  </si>
  <si>
    <t>Debit Card</t>
  </si>
  <si>
    <t>Credit Card</t>
  </si>
  <si>
    <t>Travellers Cheque</t>
  </si>
  <si>
    <t>Bradley's travelling expenses</t>
  </si>
  <si>
    <t>Tent</t>
  </si>
  <si>
    <t>Sleeping bag</t>
  </si>
  <si>
    <t>Hiking bag</t>
  </si>
  <si>
    <t>Water proof camera</t>
  </si>
  <si>
    <t>Lantern</t>
  </si>
  <si>
    <t>Marshmallows</t>
  </si>
  <si>
    <t>Band aids</t>
  </si>
  <si>
    <t>Mini guitar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</si>
</sst>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 * #,##0_ ;_ * \-#,##0_ ;_ * &quot;-&quot;??_ ;_ @_ "/>
    <numFmt numFmtId="165" formatCode="_-[$Rs.-849]\ * #,##0.00_-;\-[$Rs.-849]\ * #,##0.00_-;_-[$Rs.-849]\ * &quot;-&quot;??_-;_-@_-"/>
  </numFmts>
  <fonts count="8" x14ac:knownFonts="1"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rgb="FFFF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FF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5229"/>
        <bgColor indexed="64"/>
      </patternFill>
    </fill>
    <fill>
      <patternFill patternType="solid">
        <fgColor rgb="FFFF292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434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1" applyNumberFormat="1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4" borderId="1" xfId="1" applyNumberFormat="1" applyFont="1" applyFill="1" applyBorder="1" applyAlignment="1">
      <alignment horizontal="center" vertical="center"/>
    </xf>
    <xf numFmtId="164" fontId="0" fillId="5" borderId="1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0" fillId="4" borderId="1" xfId="0" applyFill="1" applyBorder="1" applyAlignment="1">
      <alignment horizontal="left" vertical="center"/>
    </xf>
    <xf numFmtId="164" fontId="0" fillId="4" borderId="1" xfId="1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1" applyNumberFormat="1" applyFont="1" applyFill="1" applyBorder="1" applyAlignment="1">
      <alignment vertical="center"/>
    </xf>
    <xf numFmtId="165" fontId="0" fillId="4" borderId="1" xfId="1" applyNumberFormat="1" applyFont="1" applyFill="1" applyBorder="1" applyAlignment="1">
      <alignment horizontal="left" vertical="center"/>
    </xf>
    <xf numFmtId="165" fontId="0" fillId="4" borderId="1" xfId="0" applyNumberForma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4" fillId="6" borderId="1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4" fillId="7" borderId="11" xfId="0" applyFont="1" applyFill="1" applyBorder="1" applyAlignment="1">
      <alignment horizontal="center"/>
    </xf>
    <xf numFmtId="0" fontId="4" fillId="7" borderId="1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2" fillId="8" borderId="10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9" borderId="9" xfId="0" applyFont="1" applyFill="1" applyBorder="1" applyAlignment="1">
      <alignment horizontal="center"/>
    </xf>
    <xf numFmtId="0" fontId="2" fillId="9" borderId="10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4" fillId="10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4343"/>
      <color rgb="FFFFFFCC"/>
      <color rgb="FFFF2929"/>
      <color rgb="FFFFFF85"/>
      <color rgb="FFFF5229"/>
      <color rgb="FFFFB3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Unit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Sheet2!$B$1:$B$2</c:f>
              <c:strCache>
                <c:ptCount val="2"/>
                <c:pt idx="0">
                  <c:v>General Merchandise World 2021 Retail Sales (in millions)</c:v>
                </c:pt>
                <c:pt idx="1">
                  <c:v>Unit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Sheet2!$A$3:$A$15</c15:sqref>
                  </c15:fullRef>
                </c:ext>
              </c:extLst>
              <c:f>Sheet2!$A$3:$A$14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Sheet2!$B$3:$B$15</c15:sqref>
                  </c15:fullRef>
                </c:ext>
              </c:extLst>
              <c:f>Sheet2!$B$3:$B$14</c:f>
              <c:numCache>
                <c:formatCode>_ * #,##0_ ;_ * \-#,##0_ ;_ * "-"??_ ;_ @_ </c:formatCode>
                <c:ptCount val="12"/>
                <c:pt idx="0">
                  <c:v>2670</c:v>
                </c:pt>
                <c:pt idx="1">
                  <c:v>2160</c:v>
                </c:pt>
                <c:pt idx="2">
                  <c:v>515</c:v>
                </c:pt>
                <c:pt idx="3">
                  <c:v>590</c:v>
                </c:pt>
                <c:pt idx="4">
                  <c:v>1030</c:v>
                </c:pt>
                <c:pt idx="5">
                  <c:v>2875</c:v>
                </c:pt>
                <c:pt idx="6">
                  <c:v>2700</c:v>
                </c:pt>
                <c:pt idx="7">
                  <c:v>900</c:v>
                </c:pt>
                <c:pt idx="8">
                  <c:v>775</c:v>
                </c:pt>
                <c:pt idx="9">
                  <c:v>1180</c:v>
                </c:pt>
                <c:pt idx="10">
                  <c:v>1800</c:v>
                </c:pt>
                <c:pt idx="11">
                  <c:v>3560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6B-4B41-A2A7-8F990A3B4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7116432"/>
        <c:axId val="35711185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Sheet2!$C$1:$C$2</c15:sqref>
                        </c15:formulaRef>
                      </c:ext>
                    </c:extLst>
                    <c:strCache>
                      <c:ptCount val="2"/>
                      <c:pt idx="0">
                        <c:v>General Merchandise World 2021 Retail Sales (in millions)</c:v>
                      </c:pt>
                      <c:pt idx="1">
                        <c:v>Average Price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Sheet2!$A$3:$A$15</c15:sqref>
                        </c15:fullRef>
                        <c15:formulaRef>
                          <c15:sqref>Sheet2!$A$3:$A$14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Sheet2!$C$3:$C$15</c15:sqref>
                        </c15:fullRef>
                        <c15:formulaRef>
                          <c15:sqref>Sheet2!$C$3:$C$14</c15:sqref>
                        </c15:formulaRef>
                      </c:ext>
                    </c:extLst>
                    <c:numCache>
                      <c:formatCode>_-[$Rs.-849]\ * #,##0.00_-;\-[$Rs.-849]\ * #,##0.00_-;_-[$Rs.-849]\ * "-"??_-;_-@_-</c:formatCode>
                      <c:ptCount val="12"/>
                      <c:pt idx="0">
                        <c:v>9.99</c:v>
                      </c:pt>
                      <c:pt idx="1">
                        <c:v>12.49</c:v>
                      </c:pt>
                      <c:pt idx="2">
                        <c:v>14.99</c:v>
                      </c:pt>
                      <c:pt idx="3">
                        <c:v>17.489999999999998</c:v>
                      </c:pt>
                      <c:pt idx="4">
                        <c:v>14.99</c:v>
                      </c:pt>
                      <c:pt idx="5">
                        <c:v>12.99</c:v>
                      </c:pt>
                      <c:pt idx="6">
                        <c:v>9.99</c:v>
                      </c:pt>
                      <c:pt idx="7">
                        <c:v>19.989999999999998</c:v>
                      </c:pt>
                      <c:pt idx="8">
                        <c:v>19.989999999999998</c:v>
                      </c:pt>
                      <c:pt idx="9">
                        <c:v>19.989999999999998</c:v>
                      </c:pt>
                      <c:pt idx="10">
                        <c:v>17.989999999999998</c:v>
                      </c:pt>
                      <c:pt idx="11">
                        <c:v>14.99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56B-4B41-A2A7-8F990A3B416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Sheet2!$D$1:$D$2</c15:sqref>
                        </c15:formulaRef>
                      </c:ext>
                    </c:extLst>
                    <c:strCache>
                      <c:ptCount val="2"/>
                      <c:pt idx="0">
                        <c:v>General Merchandise World 2021 Retail Sales (in millions)</c:v>
                      </c:pt>
                      <c:pt idx="1">
                        <c:v>Sales Rs.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Sheet2!$A$3:$A$15</c15:sqref>
                        </c15:fullRef>
                        <c15:formulaRef>
                          <c15:sqref>Sheet2!$A$3:$A$14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Sheet2!$D$3:$D$15</c15:sqref>
                        </c15:fullRef>
                        <c15:formulaRef>
                          <c15:sqref>Sheet2!$D$3:$D$14</c15:sqref>
                        </c15:formulaRef>
                      </c:ext>
                    </c:extLst>
                    <c:numCache>
                      <c:formatCode>_-[$Rs.-849]\ * #,##0.00_-;\-[$Rs.-849]\ * #,##0.00_-;_-[$Rs.-849]\ * "-"??_-;_-@_-</c:formatCode>
                      <c:ptCount val="12"/>
                      <c:pt idx="0">
                        <c:v>26673.3</c:v>
                      </c:pt>
                      <c:pt idx="1">
                        <c:v>26978.400000000001</c:v>
                      </c:pt>
                      <c:pt idx="2">
                        <c:v>7719.85</c:v>
                      </c:pt>
                      <c:pt idx="3">
                        <c:v>10319.099999999999</c:v>
                      </c:pt>
                      <c:pt idx="4">
                        <c:v>15439.7</c:v>
                      </c:pt>
                      <c:pt idx="5">
                        <c:v>37346.25</c:v>
                      </c:pt>
                      <c:pt idx="6">
                        <c:v>26973</c:v>
                      </c:pt>
                      <c:pt idx="7">
                        <c:v>17991</c:v>
                      </c:pt>
                      <c:pt idx="8">
                        <c:v>15492.249999999998</c:v>
                      </c:pt>
                      <c:pt idx="9">
                        <c:v>23588.199999999997</c:v>
                      </c:pt>
                      <c:pt idx="10">
                        <c:v>32381.999999999996</c:v>
                      </c:pt>
                      <c:pt idx="11">
                        <c:v>53364.4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56B-4B41-A2A7-8F990A3B4166}"/>
                  </c:ext>
                </c:extLst>
              </c15:ser>
            </c15:filteredBarSeries>
          </c:ext>
        </c:extLst>
      </c:barChart>
      <c:catAx>
        <c:axId val="35711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11856"/>
        <c:crosses val="autoZero"/>
        <c:auto val="1"/>
        <c:lblAlgn val="ctr"/>
        <c:lblOffset val="100"/>
        <c:noMultiLvlLbl val="0"/>
      </c:catAx>
      <c:valAx>
        <c:axId val="35711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1643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Camping Supplies Expenses</a:t>
            </a:r>
          </a:p>
        </c:rich>
      </c:tx>
      <c:layout>
        <c:manualLayout>
          <c:xMode val="edge"/>
          <c:yMode val="edge"/>
          <c:x val="0.29865581828717669"/>
          <c:y val="1.86397610935505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0CD-47D3-A94E-6A5585CC87F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0CD-47D3-A94E-6A5585CC87F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40CD-47D3-A94E-6A5585CC87F9}"/>
              </c:ext>
            </c:extLst>
          </c:dPt>
          <c:dPt>
            <c:idx val="4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40CD-47D3-A94E-6A5585CC87F9}"/>
              </c:ext>
            </c:extLst>
          </c:dPt>
          <c:dPt>
            <c:idx val="5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40CD-47D3-A94E-6A5585CC87F9}"/>
              </c:ext>
            </c:extLst>
          </c:dPt>
          <c:dPt>
            <c:idx val="6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40CD-47D3-A94E-6A5585CC87F9}"/>
              </c:ext>
            </c:extLst>
          </c:dPt>
          <c:dPt>
            <c:idx val="7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40CD-47D3-A94E-6A5585CC87F9}"/>
              </c:ext>
            </c:extLst>
          </c:dPt>
          <c:cat>
            <c:strRef>
              <c:f>Sheet4!$A$2:$A$9</c:f>
              <c:strCache>
                <c:ptCount val="8"/>
                <c:pt idx="0">
                  <c:v>Tent</c:v>
                </c:pt>
                <c:pt idx="1">
                  <c:v>Sleeping bag</c:v>
                </c:pt>
                <c:pt idx="2">
                  <c:v>Hiking bag</c:v>
                </c:pt>
                <c:pt idx="3">
                  <c:v>Water proof camera</c:v>
                </c:pt>
                <c:pt idx="4">
                  <c:v>Lantern</c:v>
                </c:pt>
                <c:pt idx="5">
                  <c:v>Marshmallows</c:v>
                </c:pt>
                <c:pt idx="6">
                  <c:v>Band aids</c:v>
                </c:pt>
                <c:pt idx="7">
                  <c:v>Mini guitar</c:v>
                </c:pt>
              </c:strCache>
            </c:strRef>
          </c:cat>
          <c:val>
            <c:numRef>
              <c:f>Sheet4!$B$2:$B$9</c:f>
              <c:numCache>
                <c:formatCode>General</c:formatCode>
                <c:ptCount val="8"/>
                <c:pt idx="0">
                  <c:v>98.5</c:v>
                </c:pt>
                <c:pt idx="1">
                  <c:v>44.89</c:v>
                </c:pt>
                <c:pt idx="2">
                  <c:v>39.99</c:v>
                </c:pt>
                <c:pt idx="3">
                  <c:v>39.99</c:v>
                </c:pt>
                <c:pt idx="4">
                  <c:v>29.99</c:v>
                </c:pt>
                <c:pt idx="5">
                  <c:v>5.5</c:v>
                </c:pt>
                <c:pt idx="6">
                  <c:v>3.85</c:v>
                </c:pt>
                <c:pt idx="7">
                  <c:v>39.979999999999997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CD-47D3-A94E-6A5585CC8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7906111"/>
        <c:axId val="957901119"/>
      </c:barChart>
      <c:catAx>
        <c:axId val="95790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901119"/>
        <c:crosses val="autoZero"/>
        <c:auto val="1"/>
        <c:lblAlgn val="ctr"/>
        <c:lblOffset val="100"/>
        <c:noMultiLvlLbl val="0"/>
      </c:catAx>
      <c:valAx>
        <c:axId val="95790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90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5861</xdr:rowOff>
    </xdr:from>
    <xdr:to>
      <xdr:col>5</xdr:col>
      <xdr:colOff>593481</xdr:colOff>
      <xdr:row>32</xdr:row>
      <xdr:rowOff>8792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13606</xdr:colOff>
      <xdr:row>12</xdr:row>
      <xdr:rowOff>102289</xdr:rowOff>
    </xdr:from>
    <xdr:to>
      <xdr:col>5</xdr:col>
      <xdr:colOff>370280</xdr:colOff>
      <xdr:row>29</xdr:row>
      <xdr:rowOff>29085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zoomScale="130" zoomScaleNormal="130" workbookViewId="0">
      <selection activeCell="G8" sqref="G8"/>
    </sheetView>
  </sheetViews>
  <sheetFormatPr defaultRowHeight="12.75" x14ac:dyDescent="0.2"/>
  <cols>
    <col min="1" max="2" width="9.140625" style="1"/>
    <col min="3" max="3" width="13.28515625" style="1" bestFit="1" customWidth="1"/>
    <col min="4" max="5" width="11.7109375" style="1" bestFit="1" customWidth="1"/>
    <col min="6" max="6" width="10.7109375" style="1" bestFit="1" customWidth="1"/>
    <col min="7" max="7" width="11.7109375" style="1" bestFit="1" customWidth="1"/>
    <col min="8" max="8" width="13.28515625" style="1" bestFit="1" customWidth="1"/>
    <col min="9" max="16384" width="9.140625" style="1"/>
  </cols>
  <sheetData>
    <row r="1" spans="1:8" s="6" customFormat="1" x14ac:dyDescent="0.2">
      <c r="A1" s="4" t="s">
        <v>13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5" t="s">
        <v>23</v>
      </c>
      <c r="H1" s="4" t="s">
        <v>24</v>
      </c>
    </row>
    <row r="2" spans="1:8" x14ac:dyDescent="0.2">
      <c r="A2" s="7" t="s">
        <v>4</v>
      </c>
      <c r="B2" s="8" t="s">
        <v>25</v>
      </c>
      <c r="C2" s="9">
        <v>185000</v>
      </c>
      <c r="D2" s="9">
        <v>20000</v>
      </c>
      <c r="E2" s="9">
        <v>32000</v>
      </c>
      <c r="F2" s="9">
        <v>5000</v>
      </c>
      <c r="G2" s="10">
        <f>SUM(D2:F2)</f>
        <v>57000</v>
      </c>
      <c r="H2" s="10">
        <f>C2-G2</f>
        <v>128000</v>
      </c>
    </row>
    <row r="3" spans="1:8" x14ac:dyDescent="0.2">
      <c r="A3" s="7" t="s">
        <v>5</v>
      </c>
      <c r="B3" s="8" t="s">
        <v>26</v>
      </c>
      <c r="C3" s="9">
        <v>235356</v>
      </c>
      <c r="D3" s="9">
        <v>15253</v>
      </c>
      <c r="E3" s="9">
        <v>25458</v>
      </c>
      <c r="F3" s="9">
        <v>2500</v>
      </c>
      <c r="G3" s="10">
        <f t="shared" ref="G3:G8" si="0">SUM(D3:F3)</f>
        <v>43211</v>
      </c>
      <c r="H3" s="10">
        <f t="shared" ref="H3:H8" si="1">C3-G3</f>
        <v>192145</v>
      </c>
    </row>
    <row r="4" spans="1:8" x14ac:dyDescent="0.2">
      <c r="A4" s="7" t="s">
        <v>6</v>
      </c>
      <c r="B4" s="8" t="s">
        <v>27</v>
      </c>
      <c r="C4" s="9">
        <v>35458</v>
      </c>
      <c r="D4" s="9">
        <v>5825</v>
      </c>
      <c r="E4" s="9">
        <v>45000</v>
      </c>
      <c r="F4" s="9">
        <v>1500</v>
      </c>
      <c r="G4" s="10">
        <f t="shared" si="0"/>
        <v>52325</v>
      </c>
      <c r="H4" s="10">
        <f t="shared" si="1"/>
        <v>-16867</v>
      </c>
    </row>
    <row r="5" spans="1:8" x14ac:dyDescent="0.2">
      <c r="A5" s="7" t="s">
        <v>7</v>
      </c>
      <c r="B5" s="8" t="s">
        <v>29</v>
      </c>
      <c r="C5" s="9">
        <v>85563</v>
      </c>
      <c r="D5" s="9">
        <v>65689</v>
      </c>
      <c r="E5" s="9">
        <v>25000</v>
      </c>
      <c r="F5" s="9">
        <v>3500</v>
      </c>
      <c r="G5" s="10">
        <f t="shared" si="0"/>
        <v>94189</v>
      </c>
      <c r="H5" s="10">
        <f t="shared" si="1"/>
        <v>-8626</v>
      </c>
    </row>
    <row r="6" spans="1:8" x14ac:dyDescent="0.2">
      <c r="A6" s="7" t="s">
        <v>8</v>
      </c>
      <c r="B6" s="8" t="s">
        <v>28</v>
      </c>
      <c r="C6" s="9">
        <v>745896</v>
      </c>
      <c r="D6" s="9">
        <v>7560</v>
      </c>
      <c r="E6" s="9">
        <v>45000</v>
      </c>
      <c r="F6" s="9">
        <v>1500</v>
      </c>
      <c r="G6" s="10">
        <f t="shared" si="0"/>
        <v>54060</v>
      </c>
      <c r="H6" s="10">
        <f t="shared" si="1"/>
        <v>691836</v>
      </c>
    </row>
    <row r="7" spans="1:8" x14ac:dyDescent="0.2">
      <c r="A7" s="7" t="s">
        <v>9</v>
      </c>
      <c r="B7" s="8" t="s">
        <v>30</v>
      </c>
      <c r="C7" s="9">
        <v>525236</v>
      </c>
      <c r="D7" s="9">
        <v>4850</v>
      </c>
      <c r="E7" s="9">
        <v>50000</v>
      </c>
      <c r="F7" s="9">
        <v>5000</v>
      </c>
      <c r="G7" s="10">
        <f t="shared" si="0"/>
        <v>59850</v>
      </c>
      <c r="H7" s="10">
        <f t="shared" si="1"/>
        <v>465386</v>
      </c>
    </row>
    <row r="8" spans="1:8" x14ac:dyDescent="0.2">
      <c r="A8" s="7" t="s">
        <v>10</v>
      </c>
      <c r="B8" s="8" t="s">
        <v>31</v>
      </c>
      <c r="C8" s="9">
        <v>445869</v>
      </c>
      <c r="D8" s="9">
        <v>7850</v>
      </c>
      <c r="E8" s="9">
        <v>45000</v>
      </c>
      <c r="F8" s="9">
        <v>6500</v>
      </c>
      <c r="G8" s="10">
        <f t="shared" si="0"/>
        <v>59350</v>
      </c>
      <c r="H8" s="10">
        <f t="shared" si="1"/>
        <v>386519</v>
      </c>
    </row>
  </sheetData>
  <pageMargins left="0.7" right="0.7" top="0.75" bottom="0.75" header="0.3" footer="0.3"/>
  <pageSetup paperSize="9" orientation="portrait" r:id="rId1"/>
  <ignoredErrors>
    <ignoredError sqref="G2:G8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opLeftCell="A25" zoomScale="130" zoomScaleNormal="130" workbookViewId="0">
      <selection activeCell="G12" sqref="G12"/>
    </sheetView>
  </sheetViews>
  <sheetFormatPr defaultRowHeight="12.75" x14ac:dyDescent="0.2"/>
  <cols>
    <col min="1" max="1" width="12.5703125" style="2" customWidth="1"/>
    <col min="2" max="2" width="13.140625" style="3" customWidth="1"/>
    <col min="3" max="3" width="12" style="2" customWidth="1"/>
    <col min="4" max="4" width="12.85546875" style="2" customWidth="1"/>
    <col min="5" max="16384" width="9.140625" style="2"/>
  </cols>
  <sheetData>
    <row r="1" spans="1:4" x14ac:dyDescent="0.2">
      <c r="A1" s="26" t="s">
        <v>0</v>
      </c>
      <c r="B1" s="26"/>
      <c r="C1" s="26"/>
      <c r="D1" s="26"/>
    </row>
    <row r="2" spans="1:4" x14ac:dyDescent="0.2">
      <c r="A2" s="11" t="s">
        <v>13</v>
      </c>
      <c r="B2" s="12" t="s">
        <v>14</v>
      </c>
      <c r="C2" s="11" t="s">
        <v>15</v>
      </c>
      <c r="D2" s="11" t="s">
        <v>16</v>
      </c>
    </row>
    <row r="3" spans="1:4" x14ac:dyDescent="0.2">
      <c r="A3" s="13" t="s">
        <v>1</v>
      </c>
      <c r="B3" s="14">
        <v>2670</v>
      </c>
      <c r="C3" s="17">
        <v>9.99</v>
      </c>
      <c r="D3" s="18">
        <f>B3*C3</f>
        <v>26673.3</v>
      </c>
    </row>
    <row r="4" spans="1:4" x14ac:dyDescent="0.2">
      <c r="A4" s="13" t="s">
        <v>2</v>
      </c>
      <c r="B4" s="14">
        <v>2160</v>
      </c>
      <c r="C4" s="17">
        <v>12.49</v>
      </c>
      <c r="D4" s="18">
        <f t="shared" ref="D4:D14" si="0">B4*C4</f>
        <v>26978.400000000001</v>
      </c>
    </row>
    <row r="5" spans="1:4" x14ac:dyDescent="0.2">
      <c r="A5" s="13" t="s">
        <v>3</v>
      </c>
      <c r="B5" s="14">
        <v>515</v>
      </c>
      <c r="C5" s="17">
        <v>14.99</v>
      </c>
      <c r="D5" s="18">
        <f t="shared" si="0"/>
        <v>7719.85</v>
      </c>
    </row>
    <row r="6" spans="1:4" x14ac:dyDescent="0.2">
      <c r="A6" s="13" t="s">
        <v>4</v>
      </c>
      <c r="B6" s="14">
        <v>590</v>
      </c>
      <c r="C6" s="17">
        <v>17.489999999999998</v>
      </c>
      <c r="D6" s="18">
        <f t="shared" si="0"/>
        <v>10319.099999999999</v>
      </c>
    </row>
    <row r="7" spans="1:4" x14ac:dyDescent="0.2">
      <c r="A7" s="13" t="s">
        <v>5</v>
      </c>
      <c r="B7" s="14">
        <v>1030</v>
      </c>
      <c r="C7" s="17">
        <v>14.99</v>
      </c>
      <c r="D7" s="18">
        <f t="shared" si="0"/>
        <v>15439.7</v>
      </c>
    </row>
    <row r="8" spans="1:4" x14ac:dyDescent="0.2">
      <c r="A8" s="13" t="s">
        <v>6</v>
      </c>
      <c r="B8" s="14">
        <v>2875</v>
      </c>
      <c r="C8" s="17">
        <v>12.99</v>
      </c>
      <c r="D8" s="18">
        <f t="shared" si="0"/>
        <v>37346.25</v>
      </c>
    </row>
    <row r="9" spans="1:4" x14ac:dyDescent="0.2">
      <c r="A9" s="13" t="s">
        <v>7</v>
      </c>
      <c r="B9" s="14">
        <v>2700</v>
      </c>
      <c r="C9" s="17">
        <v>9.99</v>
      </c>
      <c r="D9" s="18">
        <f t="shared" si="0"/>
        <v>26973</v>
      </c>
    </row>
    <row r="10" spans="1:4" x14ac:dyDescent="0.2">
      <c r="A10" s="13" t="s">
        <v>8</v>
      </c>
      <c r="B10" s="14">
        <v>900</v>
      </c>
      <c r="C10" s="17">
        <v>19.989999999999998</v>
      </c>
      <c r="D10" s="18">
        <f t="shared" si="0"/>
        <v>17991</v>
      </c>
    </row>
    <row r="11" spans="1:4" x14ac:dyDescent="0.2">
      <c r="A11" s="13" t="s">
        <v>9</v>
      </c>
      <c r="B11" s="14">
        <v>775</v>
      </c>
      <c r="C11" s="17">
        <v>19.989999999999998</v>
      </c>
      <c r="D11" s="18">
        <f t="shared" si="0"/>
        <v>15492.249999999998</v>
      </c>
    </row>
    <row r="12" spans="1:4" x14ac:dyDescent="0.2">
      <c r="A12" s="13" t="s">
        <v>10</v>
      </c>
      <c r="B12" s="14">
        <v>1180</v>
      </c>
      <c r="C12" s="17">
        <v>19.989999999999998</v>
      </c>
      <c r="D12" s="18">
        <f t="shared" si="0"/>
        <v>23588.199999999997</v>
      </c>
    </row>
    <row r="13" spans="1:4" x14ac:dyDescent="0.2">
      <c r="A13" s="13" t="s">
        <v>11</v>
      </c>
      <c r="B13" s="14">
        <v>1800</v>
      </c>
      <c r="C13" s="17">
        <v>17.989999999999998</v>
      </c>
      <c r="D13" s="18">
        <f t="shared" si="0"/>
        <v>32381.999999999996</v>
      </c>
    </row>
    <row r="14" spans="1:4" x14ac:dyDescent="0.2">
      <c r="A14" s="13" t="s">
        <v>12</v>
      </c>
      <c r="B14" s="14">
        <v>3560</v>
      </c>
      <c r="C14" s="17">
        <v>14.99</v>
      </c>
      <c r="D14" s="18">
        <f t="shared" si="0"/>
        <v>53364.4</v>
      </c>
    </row>
    <row r="15" spans="1:4" x14ac:dyDescent="0.2">
      <c r="A15" s="15" t="s">
        <v>17</v>
      </c>
      <c r="B15" s="16">
        <f>SUM(B3:B14)</f>
        <v>20755</v>
      </c>
      <c r="C15" s="15"/>
      <c r="D15" s="15">
        <f>SUM(D3:D14)</f>
        <v>294267.45</v>
      </c>
    </row>
  </sheetData>
  <mergeCells count="1">
    <mergeCell ref="A1:D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zoomScaleNormal="100" workbookViewId="0">
      <selection activeCell="M15" sqref="M15"/>
    </sheetView>
  </sheetViews>
  <sheetFormatPr defaultRowHeight="12.75" x14ac:dyDescent="0.2"/>
  <cols>
    <col min="1" max="3" width="9.140625" style="19"/>
    <col min="4" max="4" width="3.7109375" style="19" customWidth="1"/>
    <col min="5" max="6" width="9.140625" style="19"/>
    <col min="7" max="7" width="4.140625" style="19" customWidth="1"/>
    <col min="8" max="16384" width="9.140625" style="19"/>
  </cols>
  <sheetData>
    <row r="1" spans="1:13" ht="15.75" x14ac:dyDescent="0.25">
      <c r="A1" s="52" t="s">
        <v>32</v>
      </c>
      <c r="B1" s="52"/>
      <c r="C1" s="52"/>
      <c r="D1" s="52"/>
      <c r="E1" s="52"/>
    </row>
    <row r="2" spans="1:13" x14ac:dyDescent="0.2">
      <c r="A2" s="45" t="s">
        <v>33</v>
      </c>
      <c r="B2" s="45"/>
    </row>
    <row r="3" spans="1:13" x14ac:dyDescent="0.2">
      <c r="A3" s="45" t="s">
        <v>34</v>
      </c>
      <c r="B3" s="45"/>
      <c r="C3" s="45"/>
      <c r="D3" s="45"/>
      <c r="E3" s="45"/>
      <c r="F3" s="45"/>
      <c r="G3" s="45"/>
      <c r="H3" s="45"/>
      <c r="I3" s="45"/>
    </row>
    <row r="4" spans="1:13" x14ac:dyDescent="0.2">
      <c r="A4" s="45" t="s">
        <v>35</v>
      </c>
      <c r="B4" s="45"/>
    </row>
    <row r="5" spans="1:13" x14ac:dyDescent="0.2">
      <c r="A5" s="45" t="s">
        <v>36</v>
      </c>
      <c r="B5" s="45"/>
      <c r="C5" s="45"/>
      <c r="D5" s="45"/>
      <c r="E5" s="45"/>
      <c r="F5" s="45"/>
      <c r="G5" s="45"/>
      <c r="H5" s="45"/>
      <c r="I5" s="45"/>
    </row>
    <row r="6" spans="1:13" x14ac:dyDescent="0.2">
      <c r="A6" s="45" t="s">
        <v>37</v>
      </c>
      <c r="B6" s="45"/>
    </row>
    <row r="7" spans="1:13" x14ac:dyDescent="0.2">
      <c r="A7" s="45" t="s">
        <v>38</v>
      </c>
      <c r="B7" s="45"/>
      <c r="C7" s="45"/>
      <c r="D7" s="45"/>
      <c r="E7" s="45"/>
      <c r="F7" s="45"/>
      <c r="G7" s="45"/>
      <c r="H7" s="45"/>
      <c r="I7" s="45"/>
    </row>
    <row r="10" spans="1:13" x14ac:dyDescent="0.2">
      <c r="C10" s="46" t="s">
        <v>39</v>
      </c>
      <c r="D10" s="47"/>
      <c r="E10" s="47"/>
      <c r="F10" s="47"/>
      <c r="G10" s="47"/>
      <c r="H10" s="47"/>
    </row>
    <row r="11" spans="1:13" x14ac:dyDescent="0.2">
      <c r="C11" s="47"/>
      <c r="D11" s="47"/>
      <c r="E11" s="47"/>
      <c r="F11" s="47"/>
      <c r="G11" s="47"/>
      <c r="H11" s="47"/>
      <c r="M11" s="20"/>
    </row>
    <row r="13" spans="1:13" x14ac:dyDescent="0.2">
      <c r="B13" s="35" t="s">
        <v>40</v>
      </c>
      <c r="C13" s="36"/>
      <c r="D13" s="21"/>
      <c r="E13" s="35" t="s">
        <v>41</v>
      </c>
      <c r="F13" s="36"/>
      <c r="G13" s="22"/>
      <c r="H13" s="35" t="s">
        <v>42</v>
      </c>
      <c r="I13" s="36"/>
    </row>
    <row r="14" spans="1:13" x14ac:dyDescent="0.2">
      <c r="B14" s="48" t="s">
        <v>43</v>
      </c>
      <c r="C14" s="49"/>
      <c r="D14" s="21"/>
      <c r="E14" s="37" t="s">
        <v>48</v>
      </c>
      <c r="F14" s="38"/>
      <c r="G14" s="21"/>
      <c r="H14" s="50" t="s">
        <v>53</v>
      </c>
      <c r="I14" s="51"/>
    </row>
    <row r="15" spans="1:13" x14ac:dyDescent="0.2">
      <c r="B15" s="43" t="s">
        <v>44</v>
      </c>
      <c r="C15" s="44"/>
      <c r="D15" s="21"/>
      <c r="E15" s="39" t="s">
        <v>49</v>
      </c>
      <c r="F15" s="40"/>
      <c r="G15" s="21"/>
      <c r="H15" s="27" t="s">
        <v>54</v>
      </c>
      <c r="I15" s="28"/>
    </row>
    <row r="16" spans="1:13" x14ac:dyDescent="0.2">
      <c r="B16" s="43" t="s">
        <v>45</v>
      </c>
      <c r="C16" s="44"/>
      <c r="D16" s="21"/>
      <c r="E16" s="39" t="s">
        <v>50</v>
      </c>
      <c r="F16" s="40"/>
      <c r="G16" s="21"/>
      <c r="H16" s="27" t="s">
        <v>55</v>
      </c>
      <c r="I16" s="28"/>
    </row>
    <row r="17" spans="2:9" x14ac:dyDescent="0.2">
      <c r="B17" s="31" t="s">
        <v>46</v>
      </c>
      <c r="C17" s="32"/>
      <c r="D17" s="21"/>
      <c r="E17" s="39" t="s">
        <v>51</v>
      </c>
      <c r="F17" s="40"/>
      <c r="G17" s="21"/>
      <c r="H17" s="27" t="s">
        <v>56</v>
      </c>
      <c r="I17" s="28"/>
    </row>
    <row r="18" spans="2:9" x14ac:dyDescent="0.2">
      <c r="B18" s="33" t="s">
        <v>47</v>
      </c>
      <c r="C18" s="34"/>
      <c r="D18" s="21"/>
      <c r="E18" s="41" t="s">
        <v>52</v>
      </c>
      <c r="F18" s="42"/>
      <c r="G18" s="21"/>
      <c r="H18" s="29" t="s">
        <v>57</v>
      </c>
      <c r="I18" s="30"/>
    </row>
  </sheetData>
  <mergeCells count="26">
    <mergeCell ref="A6:B6"/>
    <mergeCell ref="A1:E1"/>
    <mergeCell ref="A2:B2"/>
    <mergeCell ref="A3:I3"/>
    <mergeCell ref="A4:B4"/>
    <mergeCell ref="A5:I5"/>
    <mergeCell ref="A7:I7"/>
    <mergeCell ref="C10:H11"/>
    <mergeCell ref="B13:C13"/>
    <mergeCell ref="B14:C14"/>
    <mergeCell ref="B15:C15"/>
    <mergeCell ref="H13:I13"/>
    <mergeCell ref="H14:I14"/>
    <mergeCell ref="H15:I15"/>
    <mergeCell ref="H17:I17"/>
    <mergeCell ref="H18:I18"/>
    <mergeCell ref="B17:C17"/>
    <mergeCell ref="B18:C18"/>
    <mergeCell ref="E13:F13"/>
    <mergeCell ref="E14:F14"/>
    <mergeCell ref="E15:F15"/>
    <mergeCell ref="E16:F16"/>
    <mergeCell ref="E17:F17"/>
    <mergeCell ref="E18:F18"/>
    <mergeCell ref="B16:C16"/>
    <mergeCell ref="H16:I1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zoomScaleNormal="100" workbookViewId="0">
      <selection activeCell="K14" sqref="K14"/>
    </sheetView>
  </sheetViews>
  <sheetFormatPr defaultRowHeight="12.75" x14ac:dyDescent="0.2"/>
  <cols>
    <col min="1" max="1" width="27.5703125" customWidth="1"/>
    <col min="2" max="2" width="20.7109375" customWidth="1"/>
  </cols>
  <sheetData>
    <row r="1" spans="1:2" x14ac:dyDescent="0.2">
      <c r="A1" s="53" t="s">
        <v>58</v>
      </c>
      <c r="B1" s="53"/>
    </row>
    <row r="2" spans="1:2" x14ac:dyDescent="0.2">
      <c r="A2" s="24" t="s">
        <v>59</v>
      </c>
      <c r="B2" s="25">
        <v>98.5</v>
      </c>
    </row>
    <row r="3" spans="1:2" x14ac:dyDescent="0.2">
      <c r="A3" s="24" t="s">
        <v>60</v>
      </c>
      <c r="B3" s="25">
        <v>44.89</v>
      </c>
    </row>
    <row r="4" spans="1:2" x14ac:dyDescent="0.2">
      <c r="A4" s="24" t="s">
        <v>61</v>
      </c>
      <c r="B4" s="25">
        <v>39.99</v>
      </c>
    </row>
    <row r="5" spans="1:2" x14ac:dyDescent="0.2">
      <c r="A5" s="24" t="s">
        <v>62</v>
      </c>
      <c r="B5" s="25">
        <v>39.99</v>
      </c>
    </row>
    <row r="6" spans="1:2" x14ac:dyDescent="0.2">
      <c r="A6" s="24" t="s">
        <v>63</v>
      </c>
      <c r="B6" s="25">
        <v>29.99</v>
      </c>
    </row>
    <row r="7" spans="1:2" x14ac:dyDescent="0.2">
      <c r="A7" s="24" t="s">
        <v>64</v>
      </c>
      <c r="B7" s="25">
        <v>5.5</v>
      </c>
    </row>
    <row r="8" spans="1:2" x14ac:dyDescent="0.2">
      <c r="A8" s="24" t="s">
        <v>65</v>
      </c>
      <c r="B8" s="25">
        <v>3.85</v>
      </c>
    </row>
    <row r="9" spans="1:2" x14ac:dyDescent="0.2">
      <c r="A9" s="24" t="s">
        <v>66</v>
      </c>
      <c r="B9" s="25">
        <v>39.979999999999997</v>
      </c>
    </row>
    <row r="10" spans="1:2" x14ac:dyDescent="0.2">
      <c r="A10" s="23"/>
      <c r="B10" s="23"/>
    </row>
    <row r="11" spans="1:2" x14ac:dyDescent="0.2">
      <c r="A11" s="23"/>
      <c r="B11" s="23"/>
    </row>
    <row r="12" spans="1:2" x14ac:dyDescent="0.2">
      <c r="A12" s="23"/>
      <c r="B12" s="23"/>
    </row>
    <row r="13" spans="1:2" x14ac:dyDescent="0.2">
      <c r="A13" s="23"/>
      <c r="B13" s="23"/>
    </row>
    <row r="14" spans="1:2" x14ac:dyDescent="0.2">
      <c r="A14" s="23"/>
      <c r="B14" s="23"/>
    </row>
  </sheetData>
  <mergeCells count="1">
    <mergeCell ref="A1:B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PLANET ERODE</dc:creator>
  <cp:lastModifiedBy>PLANET ERODE</cp:lastModifiedBy>
  <dcterms:created xsi:type="dcterms:W3CDTF">2026-06-12T06:40:57Z</dcterms:created>
  <dcterms:modified xsi:type="dcterms:W3CDTF">2026-06-24T07:54:23Z</dcterms:modified>
</cp:coreProperties>
</file>